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s in Progress" sheetId="1" r:id="rId5"/>
    <sheet state="visible" name="Submitted Papers" sheetId="2" r:id="rId6"/>
    <sheet state="visible" name="Papers in Limbo" sheetId="3" r:id="rId7"/>
    <sheet state="visible" name="Grants in Progres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tc={3cc87abd-6054-429c-acc6-d5d987b39c1e}</author>
    <author>tc={bc1480e5-9b68-4bef-ac6f-c4d99acd3cb8}</author>
  </authors>
  <commentList>
    <comment authorId="0" xr:uid="{3cc87abd-6054-429c-acc6-d5d987b39c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Checkpoint file doesn't account for internship in Summer 2021, so maybe we have more time?
</t>
      </text>
    </comment>
    <comment authorId="1" xr:uid="{bc1480e5-9b68-4bef-ac6f-c4d99acd3c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adjusted because of internship leave in summer 2022
</t>
      </text>
    </comment>
  </commentList>
</comments>
</file>

<file path=xl/sharedStrings.xml><?xml version="1.0" encoding="utf-8"?>
<sst xmlns="http://schemas.openxmlformats.org/spreadsheetml/2006/main" count="367" uniqueCount="204">
  <si>
    <t>Andrii</t>
  </si>
  <si>
    <t>Date Last Reviewed</t>
  </si>
  <si>
    <t>Days Since Last Review</t>
  </si>
  <si>
    <t>Notes</t>
  </si>
  <si>
    <t>Ian PAT</t>
  </si>
  <si>
    <t>You Zhi</t>
  </si>
  <si>
    <t>Jebrenna</t>
  </si>
  <si>
    <t>Katherine Scribe Paper</t>
  </si>
  <si>
    <t>Dataset Paper</t>
  </si>
  <si>
    <t>Vaibhav PACMAN</t>
  </si>
  <si>
    <t>Samanvay Paper</t>
  </si>
  <si>
    <t>Abstract</t>
  </si>
  <si>
    <t>Intro</t>
  </si>
  <si>
    <t>Introduction</t>
  </si>
  <si>
    <t>Background</t>
  </si>
  <si>
    <t>Related: HF Detection</t>
  </si>
  <si>
    <t>Related Work</t>
  </si>
  <si>
    <t>Dataset: Participants</t>
  </si>
  <si>
    <t>Related: Earbuds</t>
  </si>
  <si>
    <t>Methods: Dataset</t>
  </si>
  <si>
    <t>VR Design</t>
  </si>
  <si>
    <t>Workshop Methods</t>
  </si>
  <si>
    <t>Study Design</t>
  </si>
  <si>
    <t>Dataset: Hardware</t>
  </si>
  <si>
    <t>Method: Motivation, Overview</t>
  </si>
  <si>
    <t>Methods: Overview</t>
  </si>
  <si>
    <t>Related: Our Contrib</t>
  </si>
  <si>
    <t>Methods: Problem</t>
  </si>
  <si>
    <t>Methods</t>
  </si>
  <si>
    <t>Workshop Results 1</t>
  </si>
  <si>
    <t>Results: Roles</t>
  </si>
  <si>
    <t>Dataset: Protocol</t>
  </si>
  <si>
    <t>Method: Problem Formulation + Training</t>
  </si>
  <si>
    <t>Methods: Study Design</t>
  </si>
  <si>
    <t>Methods: Preprocessing</t>
  </si>
  <si>
    <t>Results1</t>
  </si>
  <si>
    <t>Workshop Results 2</t>
  </si>
  <si>
    <t>Results: Personas</t>
  </si>
  <si>
    <t>Dataset: Processing</t>
  </si>
  <si>
    <t>Method: Deployment</t>
  </si>
  <si>
    <t>Methods: Topic Graph</t>
  </si>
  <si>
    <t>Methods: Preprocessing and Features</t>
  </si>
  <si>
    <t>Methods: Model</t>
  </si>
  <si>
    <t>Results2</t>
  </si>
  <si>
    <t>Workshop Results 3</t>
  </si>
  <si>
    <t>Results: Experience Map</t>
  </si>
  <si>
    <t>Dataset: Limitations</t>
  </si>
  <si>
    <t>Overview</t>
  </si>
  <si>
    <t>Methods: QA Generation</t>
  </si>
  <si>
    <t>Methods: Features and Analyses</t>
  </si>
  <si>
    <t>Methods: Evaluation</t>
  </si>
  <si>
    <t>Results3</t>
  </si>
  <si>
    <t>Survey Methods</t>
  </si>
  <si>
    <t>Discussion</t>
  </si>
  <si>
    <t>Data Records</t>
  </si>
  <si>
    <t>Case Study 1: Background, Dataset, Motivation</t>
  </si>
  <si>
    <t>Evaluation: Experiment Design</t>
  </si>
  <si>
    <t>Visuals</t>
  </si>
  <si>
    <t>Results</t>
  </si>
  <si>
    <t>Survey Results</t>
  </si>
  <si>
    <t>Conclusion</t>
  </si>
  <si>
    <t>Validation: Distributions</t>
  </si>
  <si>
    <t>Case Study 1: Implementation, Results</t>
  </si>
  <si>
    <t>Evaluation: Results</t>
  </si>
  <si>
    <t>Stats</t>
  </si>
  <si>
    <t>Validation: Unimodal</t>
  </si>
  <si>
    <t>Case Study 2: Background, Dataset, Motivation</t>
  </si>
  <si>
    <t>ML</t>
  </si>
  <si>
    <t>Validation: Multimodal</t>
  </si>
  <si>
    <t>Case Study 2: Implementation, Results</t>
  </si>
  <si>
    <t>Case Study 3: Background, Dataset, Motivation</t>
  </si>
  <si>
    <t>Case Study 3: Implementation, Results</t>
  </si>
  <si>
    <t>Appendix</t>
  </si>
  <si>
    <t>Deadline</t>
  </si>
  <si>
    <t>Alex UbiComp Teaching</t>
  </si>
  <si>
    <t>Vaibhav BHI BP</t>
  </si>
  <si>
    <t>Nina Communications Paper</t>
  </si>
  <si>
    <t>Sejal Speech Benchmark</t>
  </si>
  <si>
    <t>Kenbhav CO/SVR</t>
  </si>
  <si>
    <t>Thomas PTT Paper</t>
  </si>
  <si>
    <t>Dhruv UIST</t>
  </si>
  <si>
    <t>Sky Pebbl</t>
  </si>
  <si>
    <t>Blue: Women's Health</t>
  </si>
  <si>
    <t>"serves as reminders for healthy actions"</t>
  </si>
  <si>
    <t>Philosophy: Colab</t>
  </si>
  <si>
    <t>Related</t>
  </si>
  <si>
    <t>Related Work: Basis</t>
  </si>
  <si>
    <t>Related: Cameras</t>
  </si>
  <si>
    <t>Results: Demographics</t>
  </si>
  <si>
    <t>Philosophy: Examples</t>
  </si>
  <si>
    <t>Methods: Problem and Approach</t>
  </si>
  <si>
    <t>Results: Phys to Pats Affs</t>
  </si>
  <si>
    <t>Datasets</t>
  </si>
  <si>
    <t>Related Work: Proximal+Distal Signals</t>
  </si>
  <si>
    <t>Related: Space Time</t>
  </si>
  <si>
    <t>Design: Overview</t>
  </si>
  <si>
    <t>moved discussion about user perspective to discussion</t>
  </si>
  <si>
    <t>Results: Soft Labels</t>
  </si>
  <si>
    <t>Philosophy: Homework</t>
  </si>
  <si>
    <t>Methods: Eval and Impl</t>
  </si>
  <si>
    <t>Results: Phys to Pats Cons</t>
  </si>
  <si>
    <t>Methods: Segmentation+Quality</t>
  </si>
  <si>
    <t>Related Work: Challenges</t>
  </si>
  <si>
    <t>Related: Comp Imaging</t>
  </si>
  <si>
    <t>Design: Implementation</t>
  </si>
  <si>
    <t>Results: Transfer</t>
  </si>
  <si>
    <t>Module 1</t>
  </si>
  <si>
    <t>Results: Overall</t>
  </si>
  <si>
    <t>Results: Dual Affs</t>
  </si>
  <si>
    <t>Methods: Reconstruction</t>
  </si>
  <si>
    <t>Dataset</t>
  </si>
  <si>
    <t>Methods: Model + Dimensions</t>
  </si>
  <si>
    <t>Study 1: Design</t>
  </si>
  <si>
    <t>Module 2</t>
  </si>
  <si>
    <t>Results: Characterization</t>
  </si>
  <si>
    <t>Results: Dual Cons</t>
  </si>
  <si>
    <t>Results: Zero-shot</t>
  </si>
  <si>
    <t>Methods: Features+Calibration</t>
  </si>
  <si>
    <t>Processing: Framework thru Segmentation</t>
  </si>
  <si>
    <t>Methods: Design Space</t>
  </si>
  <si>
    <t>Study 1: Findings</t>
  </si>
  <si>
    <t>Methods: Datasets</t>
  </si>
  <si>
    <t>Module 3</t>
  </si>
  <si>
    <t>Results: Ablation</t>
  </si>
  <si>
    <t>Results: Notes Affs</t>
  </si>
  <si>
    <t>Analysis</t>
  </si>
  <si>
    <t>Processing: Fiducial + Quality</t>
  </si>
  <si>
    <t>Implementation: Hardware + Authoring + Imaging</t>
  </si>
  <si>
    <t>Study 2: Design</t>
  </si>
  <si>
    <t>up to 5.1.4</t>
  </si>
  <si>
    <t>Methods: Signal Processing</t>
  </si>
  <si>
    <t>Discussions: Conventional vs Deep</t>
  </si>
  <si>
    <t>Results: Notes Conds</t>
  </si>
  <si>
    <t>Results: Dataset Comp</t>
  </si>
  <si>
    <t>Processing: Model + Calibration</t>
  </si>
  <si>
    <t>Implementation: Considerations</t>
  </si>
  <si>
    <t>Study 2: Findings</t>
  </si>
  <si>
    <t>Methods: Machine Learning</t>
  </si>
  <si>
    <t>Discussions: Syntax vs Content</t>
  </si>
  <si>
    <t>Discussion: Key Findings</t>
  </si>
  <si>
    <t>Appendix: Dataset</t>
  </si>
  <si>
    <t>Results: Reconstruction</t>
  </si>
  <si>
    <t>Application: Privacy + Stroboscopic</t>
  </si>
  <si>
    <t>Study 3: Design</t>
  </si>
  <si>
    <t>Conclusions</t>
  </si>
  <si>
    <t>Discussion: Implications</t>
  </si>
  <si>
    <t>Appendix: Tasks</t>
  </si>
  <si>
    <t>Results: Personalization</t>
  </si>
  <si>
    <t>Results: Quality</t>
  </si>
  <si>
    <t>Application: Steganography + Expressive</t>
  </si>
  <si>
    <t>Study 3: Findings</t>
  </si>
  <si>
    <t>Acknowledgments</t>
  </si>
  <si>
    <t>Discussion: Limitations</t>
  </si>
  <si>
    <t>Appendix: Models</t>
  </si>
  <si>
    <t>Results: Models</t>
  </si>
  <si>
    <t>Results: Correlation</t>
  </si>
  <si>
    <t>Application: Gestures</t>
  </si>
  <si>
    <t>limitations done</t>
  </si>
  <si>
    <t>Appendix: Implementation</t>
  </si>
  <si>
    <t>Results: Calibration</t>
  </si>
  <si>
    <t>Results: Standard</t>
  </si>
  <si>
    <t>Discussion: Contributions</t>
  </si>
  <si>
    <t>Appendix: Data Efficiency</t>
  </si>
  <si>
    <t>Results: Subset</t>
  </si>
  <si>
    <t>Results: Robust</t>
  </si>
  <si>
    <t>Discussion: Authoring</t>
  </si>
  <si>
    <t>Discussion: Hardware</t>
  </si>
  <si>
    <t>Sanitation (Brenna)</t>
  </si>
  <si>
    <t>CapApp (CJ)</t>
  </si>
  <si>
    <t>Lit Review</t>
  </si>
  <si>
    <t>System Design</t>
  </si>
  <si>
    <t>Formative Design</t>
  </si>
  <si>
    <t>Formative Results</t>
  </si>
  <si>
    <t>Main Study Design</t>
  </si>
  <si>
    <t>Main Study Results</t>
  </si>
  <si>
    <t>NFRF</t>
  </si>
  <si>
    <t>Status</t>
  </si>
  <si>
    <t>NSERC DG</t>
  </si>
  <si>
    <t>Disruptive Tech: Motivation</t>
  </si>
  <si>
    <t>Done</t>
  </si>
  <si>
    <t>Proposal: Background</t>
  </si>
  <si>
    <t>Disruptive Tech: Vision</t>
  </si>
  <si>
    <t>Proposal: Objectives and Recent</t>
  </si>
  <si>
    <t>Feasibility: Objectives</t>
  </si>
  <si>
    <t>Proposal: Lit Review</t>
  </si>
  <si>
    <t>maybe position this broader than just healthcare when possible?</t>
  </si>
  <si>
    <t>Feasibility: Engineering</t>
  </si>
  <si>
    <t>Proposal: Methods</t>
  </si>
  <si>
    <t>incorporate changes to NOI</t>
  </si>
  <si>
    <t>Feasibility: Legal</t>
  </si>
  <si>
    <t>Proposal: Impact</t>
  </si>
  <si>
    <t>Feasibility: Clinical</t>
  </si>
  <si>
    <t>Budget Justification</t>
  </si>
  <si>
    <t>Feasibility: EDI</t>
  </si>
  <si>
    <t>Summary</t>
  </si>
  <si>
    <t>Interdisciplinary: Team</t>
  </si>
  <si>
    <t>Proposed Expenditures</t>
  </si>
  <si>
    <t>Impact: SDGs</t>
  </si>
  <si>
    <t>Other Support</t>
  </si>
  <si>
    <t>Impact: Short-Term</t>
  </si>
  <si>
    <t>HQP Training Plan</t>
  </si>
  <si>
    <t>Impact: Long-Term</t>
  </si>
  <si>
    <t>Most Significant Contributions</t>
  </si>
  <si>
    <t>Additional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</si>
</sst>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mmmm d"/>
    <numFmt numFmtId="166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0" fillId="2" fontId="1" numFmtId="0" xfId="0" applyAlignment="1" applyFont="1">
      <alignment horizontal="left" readingOrder="0" shrinkToFit="0" wrapText="1"/>
    </xf>
    <xf borderId="2" fillId="2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3" xfId="0" applyFont="1" applyNumberFormat="1"/>
    <xf borderId="2" fillId="0" fontId="2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3" fillId="0" fontId="1" numFmtId="0" xfId="0" applyAlignment="1" applyBorder="1" applyFont="1">
      <alignment horizontal="left" readingOrder="0"/>
    </xf>
    <xf borderId="4" fillId="0" fontId="2" numFmtId="164" xfId="0" applyAlignment="1" applyBorder="1" applyFont="1" applyNumberFormat="1">
      <alignment horizontal="left" readingOrder="0"/>
    </xf>
    <xf borderId="4" fillId="0" fontId="2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left" readingOrder="0"/>
    </xf>
    <xf borderId="4" fillId="0" fontId="2" numFmtId="165" xfId="0" applyAlignment="1" applyBorder="1" applyFont="1" applyNumberFormat="1">
      <alignment horizontal="left" readingOrder="0"/>
    </xf>
    <xf borderId="5" fillId="0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2" fillId="0" fontId="2" numFmtId="166" xfId="0" applyAlignment="1" applyBorder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2" fillId="0" fontId="2" numFmtId="0" xfId="0" applyBorder="1" applyFont="1"/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0" fillId="0" fontId="2" numFmtId="3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4" fillId="0" fontId="2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 Mariakakis" id="{c11996c7-d2d5-48c9-9fa3-4a39b5b8dcc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4-15T20:59:54.00" personId="{c11996c7-d2d5-48c9-9fa3-4a39b5b8dccb}" id="{3cc87abd-6054-429c-acc6-d5d987b39c1e}" done="1">
    <x18tc:text xml:space="preserve">Checkpoint file doesn't account for internship in Summer 2021, so maybe we have more time?</x18tc:text>
  </x18tc:threadedComment>
  <x18tc:threadedComment ref="A1" dT="2023-04-15T02:35:26.00" personId="{c11996c7-d2d5-48c9-9fa3-4a39b5b8dccb}" id="{bc1480e5-9b68-4bef-ac6f-c4d99acd3cb8}" done="1">
    <x18tc:text xml:space="preserve">adjusted because of internship leave in summer 2022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0.0"/>
    <col customWidth="1" min="3" max="3" width="7.75"/>
    <col customWidth="1" min="4" max="4" width="16.38"/>
    <col customWidth="1" min="5" max="5" width="14.88"/>
    <col customWidth="1" min="6" max="6" width="10.0"/>
    <col customWidth="1" min="7" max="7" width="7.75"/>
    <col customWidth="1" min="8" max="8" width="11.88"/>
    <col customWidth="1" min="9" max="9" width="14.88"/>
    <col customWidth="1" min="10" max="10" width="11.5"/>
    <col customWidth="1" min="11" max="11" width="7.75"/>
    <col customWidth="1" min="12" max="12" width="16.38"/>
    <col customWidth="1" min="13" max="13" width="14.88"/>
    <col customWidth="1" min="14" max="14" width="11.5"/>
    <col customWidth="1" min="15" max="15" width="7.75"/>
    <col customWidth="1" min="16" max="16" width="16.38"/>
    <col customWidth="1" min="17" max="17" width="14.38"/>
    <col customWidth="1" min="18" max="18" width="10.75"/>
    <col customWidth="1" min="19" max="19" width="8.25"/>
    <col customWidth="1" min="20" max="20" width="5.63"/>
    <col customWidth="1" min="21" max="21" width="14.88"/>
    <col customWidth="1" min="22" max="22" width="10.0"/>
    <col customWidth="1" min="23" max="23" width="7.75"/>
    <col customWidth="1" min="24" max="24" width="16.38"/>
    <col customWidth="1" min="25" max="25" width="29.38"/>
    <col customWidth="1" min="26" max="26" width="10.0"/>
    <col customWidth="1" min="27" max="27" width="7.75"/>
    <col customWidth="1" min="28" max="28" width="12.38"/>
    <col customWidth="1" min="29" max="29" width="19.0"/>
    <col customWidth="1" min="30" max="30" width="10.0"/>
    <col customWidth="1" min="31" max="31" width="7.75"/>
    <col customWidth="1" min="32" max="32" width="1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1</v>
      </c>
      <c r="G1" s="2" t="s">
        <v>2</v>
      </c>
      <c r="H1" s="3" t="s">
        <v>3</v>
      </c>
      <c r="I1" s="1" t="s">
        <v>5</v>
      </c>
      <c r="J1" s="2" t="s">
        <v>1</v>
      </c>
      <c r="K1" s="2" t="s">
        <v>2</v>
      </c>
      <c r="L1" s="3" t="s">
        <v>3</v>
      </c>
      <c r="M1" s="1" t="s">
        <v>6</v>
      </c>
      <c r="N1" s="2" t="s">
        <v>1</v>
      </c>
      <c r="O1" s="2" t="s">
        <v>2</v>
      </c>
      <c r="P1" s="3" t="s">
        <v>3</v>
      </c>
      <c r="Q1" s="1" t="s">
        <v>7</v>
      </c>
      <c r="R1" s="2" t="s">
        <v>1</v>
      </c>
      <c r="S1" s="2" t="s">
        <v>2</v>
      </c>
      <c r="T1" s="3" t="s">
        <v>3</v>
      </c>
      <c r="U1" s="1" t="s">
        <v>8</v>
      </c>
      <c r="V1" s="2" t="s">
        <v>1</v>
      </c>
      <c r="W1" s="2" t="s">
        <v>2</v>
      </c>
      <c r="X1" s="3" t="s">
        <v>3</v>
      </c>
      <c r="Y1" s="1" t="s">
        <v>9</v>
      </c>
      <c r="Z1" s="2" t="s">
        <v>1</v>
      </c>
      <c r="AA1" s="2" t="s">
        <v>2</v>
      </c>
      <c r="AB1" s="3" t="s">
        <v>3</v>
      </c>
      <c r="AC1" s="1" t="s">
        <v>10</v>
      </c>
      <c r="AD1" s="2" t="s">
        <v>1</v>
      </c>
      <c r="AE1" s="2" t="s">
        <v>2</v>
      </c>
      <c r="AF1" s="3" t="s">
        <v>3</v>
      </c>
    </row>
    <row r="2">
      <c r="A2" s="4" t="s">
        <v>11</v>
      </c>
      <c r="B2" s="5">
        <v>46201.0</v>
      </c>
      <c r="C2" s="6">
        <f t="shared" ref="C2:C14" si="1">TODAY()-B2</f>
        <v>14</v>
      </c>
      <c r="D2" s="7"/>
      <c r="E2" s="4" t="s">
        <v>11</v>
      </c>
      <c r="F2" s="5"/>
      <c r="G2" s="6">
        <f t="shared" ref="G2:G10" si="2">TODAY()-F2</f>
        <v>46215</v>
      </c>
      <c r="H2" s="7"/>
      <c r="I2" s="4" t="s">
        <v>11</v>
      </c>
      <c r="J2" s="5"/>
      <c r="K2" s="6">
        <f t="shared" ref="K2:K12" si="3">TODAY()-J2</f>
        <v>46215</v>
      </c>
      <c r="L2" s="7"/>
      <c r="M2" s="4" t="s">
        <v>11</v>
      </c>
      <c r="N2" s="5"/>
      <c r="O2" s="6">
        <f t="shared" ref="O2:O12" si="4">TODAY()-N2</f>
        <v>46215</v>
      </c>
      <c r="P2" s="7"/>
      <c r="Q2" s="4" t="s">
        <v>11</v>
      </c>
      <c r="R2" s="5"/>
      <c r="S2" s="6">
        <f t="shared" ref="S2:S10" si="5">TODAY()-R2</f>
        <v>46215</v>
      </c>
      <c r="T2" s="7"/>
      <c r="U2" s="4" t="s">
        <v>11</v>
      </c>
      <c r="V2" s="5">
        <v>46204.0</v>
      </c>
      <c r="W2" s="6">
        <f t="shared" ref="W2:W12" si="6">TODAY()-V2</f>
        <v>11</v>
      </c>
      <c r="X2" s="7"/>
      <c r="Y2" s="4" t="s">
        <v>11</v>
      </c>
      <c r="Z2" s="5">
        <v>46054.0</v>
      </c>
      <c r="AA2" s="6">
        <f t="shared" ref="AA2:AA17" si="7">TODAY()-Z2</f>
        <v>161</v>
      </c>
      <c r="AB2" s="7"/>
      <c r="AC2" s="4" t="s">
        <v>11</v>
      </c>
      <c r="AD2" s="5">
        <v>46003.0</v>
      </c>
      <c r="AE2" s="6">
        <f t="shared" ref="AE2:AE11" si="8">TODAY()-AD2</f>
        <v>212</v>
      </c>
      <c r="AF2" s="7"/>
    </row>
    <row r="3">
      <c r="A3" s="4" t="s">
        <v>12</v>
      </c>
      <c r="B3" s="5">
        <v>46201.0</v>
      </c>
      <c r="C3" s="6">
        <f t="shared" si="1"/>
        <v>14</v>
      </c>
      <c r="D3" s="7"/>
      <c r="E3" s="4" t="s">
        <v>12</v>
      </c>
      <c r="F3" s="5">
        <v>46133.0</v>
      </c>
      <c r="G3" s="6">
        <f t="shared" si="2"/>
        <v>82</v>
      </c>
      <c r="H3" s="7"/>
      <c r="I3" s="4" t="s">
        <v>12</v>
      </c>
      <c r="J3" s="5">
        <v>46209.0</v>
      </c>
      <c r="K3" s="6">
        <f t="shared" si="3"/>
        <v>6</v>
      </c>
      <c r="L3" s="7"/>
      <c r="M3" s="4" t="s">
        <v>12</v>
      </c>
      <c r="N3" s="5"/>
      <c r="O3" s="6">
        <f t="shared" si="4"/>
        <v>46215</v>
      </c>
      <c r="P3" s="7"/>
      <c r="Q3" s="4" t="s">
        <v>13</v>
      </c>
      <c r="R3" s="5"/>
      <c r="S3" s="6">
        <f t="shared" si="5"/>
        <v>46215</v>
      </c>
      <c r="T3" s="7"/>
      <c r="U3" s="4" t="s">
        <v>12</v>
      </c>
      <c r="V3" s="5">
        <v>46204.0</v>
      </c>
      <c r="W3" s="6">
        <f t="shared" si="6"/>
        <v>11</v>
      </c>
      <c r="X3" s="7"/>
      <c r="Y3" s="4" t="s">
        <v>13</v>
      </c>
      <c r="Z3" s="5">
        <v>46054.0</v>
      </c>
      <c r="AA3" s="6">
        <f t="shared" si="7"/>
        <v>161</v>
      </c>
      <c r="AB3" s="7"/>
      <c r="AC3" s="4" t="s">
        <v>14</v>
      </c>
      <c r="AD3" s="5">
        <v>46003.0</v>
      </c>
      <c r="AE3" s="6">
        <f t="shared" si="8"/>
        <v>212</v>
      </c>
      <c r="AF3" s="7"/>
    </row>
    <row r="4">
      <c r="A4" s="4" t="s">
        <v>15</v>
      </c>
      <c r="B4" s="5">
        <v>46201.0</v>
      </c>
      <c r="C4" s="6">
        <f t="shared" si="1"/>
        <v>14</v>
      </c>
      <c r="D4" s="7"/>
      <c r="E4" s="4" t="s">
        <v>16</v>
      </c>
      <c r="F4" s="5">
        <v>46109.0</v>
      </c>
      <c r="G4" s="6">
        <f t="shared" si="2"/>
        <v>106</v>
      </c>
      <c r="H4" s="7"/>
      <c r="I4" s="4" t="s">
        <v>16</v>
      </c>
      <c r="J4" s="5"/>
      <c r="K4" s="6">
        <f t="shared" si="3"/>
        <v>46215</v>
      </c>
      <c r="L4" s="7"/>
      <c r="M4" s="4" t="s">
        <v>16</v>
      </c>
      <c r="N4" s="5"/>
      <c r="O4" s="6">
        <f t="shared" si="4"/>
        <v>46215</v>
      </c>
      <c r="P4" s="7"/>
      <c r="Q4" s="4" t="s">
        <v>16</v>
      </c>
      <c r="R4" s="5"/>
      <c r="S4" s="6">
        <f t="shared" si="5"/>
        <v>46215</v>
      </c>
      <c r="T4" s="7"/>
      <c r="U4" s="4" t="s">
        <v>17</v>
      </c>
      <c r="V4" s="5">
        <v>46204.0</v>
      </c>
      <c r="W4" s="6">
        <f t="shared" si="6"/>
        <v>11</v>
      </c>
      <c r="X4" s="7"/>
      <c r="Y4" s="4" t="s">
        <v>16</v>
      </c>
      <c r="Z4" s="5">
        <v>46054.0</v>
      </c>
      <c r="AA4" s="6">
        <f t="shared" si="7"/>
        <v>161</v>
      </c>
      <c r="AB4" s="7"/>
      <c r="AC4" s="4" t="s">
        <v>16</v>
      </c>
      <c r="AD4" s="5">
        <v>46003.0</v>
      </c>
      <c r="AE4" s="6">
        <f t="shared" si="8"/>
        <v>212</v>
      </c>
      <c r="AF4" s="7"/>
    </row>
    <row r="5">
      <c r="A5" s="4" t="s">
        <v>18</v>
      </c>
      <c r="B5" s="5">
        <v>46201.0</v>
      </c>
      <c r="C5" s="6">
        <f t="shared" si="1"/>
        <v>14</v>
      </c>
      <c r="D5" s="7"/>
      <c r="E5" s="4" t="s">
        <v>19</v>
      </c>
      <c r="F5" s="5">
        <v>46109.0</v>
      </c>
      <c r="G5" s="6">
        <f t="shared" si="2"/>
        <v>106</v>
      </c>
      <c r="H5" s="7"/>
      <c r="I5" s="4" t="s">
        <v>20</v>
      </c>
      <c r="J5" s="5"/>
      <c r="K5" s="6">
        <f t="shared" si="3"/>
        <v>46215</v>
      </c>
      <c r="L5" s="7"/>
      <c r="M5" s="4" t="s">
        <v>21</v>
      </c>
      <c r="N5" s="5">
        <v>46212.0</v>
      </c>
      <c r="O5" s="6">
        <f t="shared" si="4"/>
        <v>3</v>
      </c>
      <c r="P5" s="7"/>
      <c r="Q5" s="4" t="s">
        <v>22</v>
      </c>
      <c r="R5" s="5"/>
      <c r="S5" s="6">
        <f t="shared" si="5"/>
        <v>46215</v>
      </c>
      <c r="T5" s="7"/>
      <c r="U5" s="4" t="s">
        <v>23</v>
      </c>
      <c r="V5" s="5">
        <v>46204.0</v>
      </c>
      <c r="W5" s="6">
        <f t="shared" si="6"/>
        <v>11</v>
      </c>
      <c r="X5" s="7"/>
      <c r="Y5" s="4" t="s">
        <v>24</v>
      </c>
      <c r="Z5" s="5">
        <v>46054.0</v>
      </c>
      <c r="AA5" s="6">
        <f t="shared" si="7"/>
        <v>161</v>
      </c>
      <c r="AB5" s="7"/>
      <c r="AC5" s="4" t="s">
        <v>25</v>
      </c>
      <c r="AD5" s="5">
        <v>46003.0</v>
      </c>
      <c r="AE5" s="6">
        <f t="shared" si="8"/>
        <v>212</v>
      </c>
      <c r="AF5" s="7"/>
    </row>
    <row r="6">
      <c r="A6" s="4" t="s">
        <v>26</v>
      </c>
      <c r="B6" s="5">
        <v>46201.0</v>
      </c>
      <c r="C6" s="6">
        <f t="shared" si="1"/>
        <v>14</v>
      </c>
      <c r="D6" s="7"/>
      <c r="E6" s="4" t="s">
        <v>27</v>
      </c>
      <c r="F6" s="5">
        <v>46109.0</v>
      </c>
      <c r="G6" s="6">
        <f t="shared" si="2"/>
        <v>106</v>
      </c>
      <c r="H6" s="7"/>
      <c r="I6" s="4" t="s">
        <v>28</v>
      </c>
      <c r="J6" s="5"/>
      <c r="K6" s="6">
        <f t="shared" si="3"/>
        <v>46215</v>
      </c>
      <c r="L6" s="7"/>
      <c r="M6" s="4" t="s">
        <v>29</v>
      </c>
      <c r="N6" s="5">
        <v>46215.0</v>
      </c>
      <c r="O6" s="6">
        <f t="shared" si="4"/>
        <v>0</v>
      </c>
      <c r="P6" s="7"/>
      <c r="Q6" s="4" t="s">
        <v>30</v>
      </c>
      <c r="R6" s="5"/>
      <c r="S6" s="6">
        <f t="shared" si="5"/>
        <v>46215</v>
      </c>
      <c r="T6" s="7"/>
      <c r="U6" s="4" t="s">
        <v>31</v>
      </c>
      <c r="V6" s="5">
        <v>46204.0</v>
      </c>
      <c r="W6" s="6">
        <f t="shared" si="6"/>
        <v>11</v>
      </c>
      <c r="X6" s="7"/>
      <c r="Y6" s="4" t="s">
        <v>32</v>
      </c>
      <c r="Z6" s="5">
        <v>46054.0</v>
      </c>
      <c r="AA6" s="6">
        <f t="shared" si="7"/>
        <v>161</v>
      </c>
      <c r="AB6" s="7"/>
      <c r="AC6" s="4" t="s">
        <v>19</v>
      </c>
      <c r="AD6" s="5">
        <v>46003.0</v>
      </c>
      <c r="AE6" s="6">
        <f t="shared" si="8"/>
        <v>212</v>
      </c>
      <c r="AF6" s="7"/>
    </row>
    <row r="7">
      <c r="A7" s="4" t="s">
        <v>33</v>
      </c>
      <c r="B7" s="5">
        <v>46208.0</v>
      </c>
      <c r="C7" s="6">
        <f t="shared" si="1"/>
        <v>7</v>
      </c>
      <c r="D7" s="8"/>
      <c r="E7" s="4" t="s">
        <v>34</v>
      </c>
      <c r="F7" s="5">
        <v>46109.0</v>
      </c>
      <c r="G7" s="6">
        <f t="shared" si="2"/>
        <v>106</v>
      </c>
      <c r="H7" s="8"/>
      <c r="I7" s="4" t="s">
        <v>35</v>
      </c>
      <c r="J7" s="5"/>
      <c r="K7" s="6">
        <f t="shared" si="3"/>
        <v>46215</v>
      </c>
      <c r="L7" s="8"/>
      <c r="M7" s="4" t="s">
        <v>36</v>
      </c>
      <c r="N7" s="5">
        <v>46215.0</v>
      </c>
      <c r="O7" s="6">
        <f t="shared" si="4"/>
        <v>0</v>
      </c>
      <c r="P7" s="8"/>
      <c r="Q7" s="4" t="s">
        <v>37</v>
      </c>
      <c r="R7" s="5"/>
      <c r="S7" s="6">
        <f t="shared" si="5"/>
        <v>46215</v>
      </c>
      <c r="T7" s="8"/>
      <c r="U7" s="4" t="s">
        <v>38</v>
      </c>
      <c r="V7" s="5">
        <v>46205.0</v>
      </c>
      <c r="W7" s="6">
        <f t="shared" si="6"/>
        <v>10</v>
      </c>
      <c r="X7" s="8"/>
      <c r="Y7" s="9" t="s">
        <v>39</v>
      </c>
      <c r="Z7" s="5">
        <v>46054.0</v>
      </c>
      <c r="AA7" s="6">
        <f t="shared" si="7"/>
        <v>161</v>
      </c>
      <c r="AB7" s="7"/>
      <c r="AC7" s="4" t="s">
        <v>40</v>
      </c>
      <c r="AD7" s="5">
        <v>46003.0</v>
      </c>
      <c r="AE7" s="6">
        <f t="shared" si="8"/>
        <v>212</v>
      </c>
      <c r="AF7" s="8"/>
    </row>
    <row r="8">
      <c r="A8" s="4" t="s">
        <v>41</v>
      </c>
      <c r="B8" s="5">
        <v>46208.0</v>
      </c>
      <c r="C8" s="6">
        <f t="shared" si="1"/>
        <v>7</v>
      </c>
      <c r="D8" s="8"/>
      <c r="E8" s="4" t="s">
        <v>42</v>
      </c>
      <c r="F8" s="5">
        <v>46110.0</v>
      </c>
      <c r="G8" s="6">
        <f t="shared" si="2"/>
        <v>105</v>
      </c>
      <c r="H8" s="10"/>
      <c r="I8" s="4" t="s">
        <v>43</v>
      </c>
      <c r="J8" s="5"/>
      <c r="K8" s="6">
        <f t="shared" si="3"/>
        <v>46215</v>
      </c>
      <c r="L8" s="10"/>
      <c r="M8" s="4" t="s">
        <v>44</v>
      </c>
      <c r="N8" s="5">
        <v>46215.0</v>
      </c>
      <c r="O8" s="6">
        <f t="shared" si="4"/>
        <v>0</v>
      </c>
      <c r="P8" s="10"/>
      <c r="Q8" s="4" t="s">
        <v>45</v>
      </c>
      <c r="R8" s="5"/>
      <c r="S8" s="6">
        <f t="shared" si="5"/>
        <v>46215</v>
      </c>
      <c r="T8" s="10"/>
      <c r="U8" s="4" t="s">
        <v>46</v>
      </c>
      <c r="V8" s="5">
        <v>46205.0</v>
      </c>
      <c r="W8" s="6">
        <f t="shared" si="6"/>
        <v>10</v>
      </c>
      <c r="X8" s="10"/>
      <c r="Y8" s="4" t="s">
        <v>47</v>
      </c>
      <c r="Z8" s="5">
        <v>46054.0</v>
      </c>
      <c r="AA8" s="6">
        <f t="shared" si="7"/>
        <v>161</v>
      </c>
      <c r="AB8" s="7"/>
      <c r="AC8" s="4" t="s">
        <v>48</v>
      </c>
      <c r="AD8" s="5">
        <v>46003.0</v>
      </c>
      <c r="AE8" s="6">
        <f t="shared" si="8"/>
        <v>212</v>
      </c>
      <c r="AF8" s="10"/>
    </row>
    <row r="9">
      <c r="A9" s="4" t="s">
        <v>49</v>
      </c>
      <c r="B9" s="5">
        <v>46208.0</v>
      </c>
      <c r="C9" s="6">
        <f t="shared" si="1"/>
        <v>7</v>
      </c>
      <c r="D9" s="8"/>
      <c r="E9" s="4" t="s">
        <v>50</v>
      </c>
      <c r="F9" s="5">
        <v>46110.0</v>
      </c>
      <c r="G9" s="6">
        <f t="shared" si="2"/>
        <v>105</v>
      </c>
      <c r="H9" s="10"/>
      <c r="I9" s="4" t="s">
        <v>51</v>
      </c>
      <c r="J9" s="5"/>
      <c r="K9" s="6">
        <f t="shared" si="3"/>
        <v>46215</v>
      </c>
      <c r="L9" s="10"/>
      <c r="M9" s="4" t="s">
        <v>52</v>
      </c>
      <c r="N9" s="5">
        <v>46214.0</v>
      </c>
      <c r="O9" s="6">
        <f t="shared" si="4"/>
        <v>1</v>
      </c>
      <c r="P9" s="10"/>
      <c r="Q9" s="4" t="s">
        <v>53</v>
      </c>
      <c r="R9" s="5"/>
      <c r="S9" s="6">
        <f t="shared" si="5"/>
        <v>46215</v>
      </c>
      <c r="T9" s="10"/>
      <c r="U9" s="4" t="s">
        <v>54</v>
      </c>
      <c r="V9" s="5"/>
      <c r="W9" s="6">
        <f t="shared" si="6"/>
        <v>46215</v>
      </c>
      <c r="X9" s="10"/>
      <c r="Y9" s="4" t="s">
        <v>55</v>
      </c>
      <c r="Z9" s="5">
        <v>46053.0</v>
      </c>
      <c r="AA9" s="6">
        <f t="shared" si="7"/>
        <v>162</v>
      </c>
      <c r="AB9" s="7"/>
      <c r="AC9" s="4" t="s">
        <v>56</v>
      </c>
      <c r="AD9" s="5">
        <v>46003.0</v>
      </c>
      <c r="AE9" s="6">
        <f t="shared" si="8"/>
        <v>212</v>
      </c>
      <c r="AF9" s="10"/>
    </row>
    <row r="10">
      <c r="A10" s="4" t="s">
        <v>57</v>
      </c>
      <c r="B10" s="5">
        <v>46211.0</v>
      </c>
      <c r="C10" s="6">
        <f t="shared" si="1"/>
        <v>4</v>
      </c>
      <c r="D10" s="7"/>
      <c r="E10" s="4" t="s">
        <v>58</v>
      </c>
      <c r="F10" s="5"/>
      <c r="G10" s="6">
        <f t="shared" si="2"/>
        <v>46215</v>
      </c>
      <c r="H10" s="10"/>
      <c r="I10" s="4" t="s">
        <v>53</v>
      </c>
      <c r="J10" s="5"/>
      <c r="K10" s="6">
        <f t="shared" si="3"/>
        <v>46215</v>
      </c>
      <c r="L10" s="10"/>
      <c r="M10" s="4" t="s">
        <v>59</v>
      </c>
      <c r="N10" s="5"/>
      <c r="O10" s="6">
        <f t="shared" si="4"/>
        <v>46215</v>
      </c>
      <c r="P10" s="10"/>
      <c r="Q10" s="4" t="s">
        <v>60</v>
      </c>
      <c r="R10" s="5"/>
      <c r="S10" s="6">
        <f t="shared" si="5"/>
        <v>46215</v>
      </c>
      <c r="T10" s="10"/>
      <c r="U10" s="4" t="s">
        <v>61</v>
      </c>
      <c r="V10" s="5"/>
      <c r="W10" s="6">
        <f t="shared" si="6"/>
        <v>46215</v>
      </c>
      <c r="X10" s="10"/>
      <c r="Y10" s="4" t="s">
        <v>62</v>
      </c>
      <c r="Z10" s="5">
        <v>46053.0</v>
      </c>
      <c r="AA10" s="6">
        <f t="shared" si="7"/>
        <v>162</v>
      </c>
      <c r="AB10" s="7"/>
      <c r="AC10" s="4" t="s">
        <v>63</v>
      </c>
      <c r="AD10" s="5">
        <v>46003.0</v>
      </c>
      <c r="AE10" s="6">
        <f t="shared" si="8"/>
        <v>212</v>
      </c>
      <c r="AF10" s="10"/>
    </row>
    <row r="11">
      <c r="A11" s="4" t="s">
        <v>64</v>
      </c>
      <c r="B11" s="5">
        <v>46211.0</v>
      </c>
      <c r="C11" s="6">
        <f t="shared" si="1"/>
        <v>4</v>
      </c>
      <c r="D11" s="7"/>
      <c r="E11" s="4"/>
      <c r="F11" s="5"/>
      <c r="G11" s="6"/>
      <c r="H11" s="10"/>
      <c r="I11" s="4" t="s">
        <v>60</v>
      </c>
      <c r="J11" s="5"/>
      <c r="K11" s="6">
        <f t="shared" si="3"/>
        <v>46215</v>
      </c>
      <c r="L11" s="10"/>
      <c r="M11" s="4" t="s">
        <v>53</v>
      </c>
      <c r="N11" s="5"/>
      <c r="O11" s="6">
        <f t="shared" si="4"/>
        <v>46215</v>
      </c>
      <c r="P11" s="10"/>
      <c r="Q11" s="4"/>
      <c r="R11" s="5"/>
      <c r="S11" s="6"/>
      <c r="T11" s="10"/>
      <c r="U11" s="4" t="s">
        <v>65</v>
      </c>
      <c r="V11" s="5"/>
      <c r="W11" s="6">
        <f t="shared" si="6"/>
        <v>46215</v>
      </c>
      <c r="X11" s="10"/>
      <c r="Y11" s="4" t="s">
        <v>66</v>
      </c>
      <c r="Z11" s="5">
        <v>46053.0</v>
      </c>
      <c r="AA11" s="6">
        <f t="shared" si="7"/>
        <v>162</v>
      </c>
      <c r="AB11" s="7"/>
      <c r="AC11" s="4" t="s">
        <v>60</v>
      </c>
      <c r="AD11" s="5">
        <v>46003.0</v>
      </c>
      <c r="AE11" s="6">
        <f t="shared" si="8"/>
        <v>212</v>
      </c>
      <c r="AF11" s="10"/>
    </row>
    <row r="12">
      <c r="A12" s="4" t="s">
        <v>67</v>
      </c>
      <c r="B12" s="5">
        <v>46211.0</v>
      </c>
      <c r="C12" s="6">
        <f t="shared" si="1"/>
        <v>4</v>
      </c>
      <c r="D12" s="7"/>
      <c r="E12" s="4"/>
      <c r="F12" s="5"/>
      <c r="G12" s="6"/>
      <c r="H12" s="10"/>
      <c r="I12" s="4"/>
      <c r="J12" s="5"/>
      <c r="K12" s="6">
        <f t="shared" si="3"/>
        <v>46215</v>
      </c>
      <c r="L12" s="10"/>
      <c r="M12" s="4" t="s">
        <v>60</v>
      </c>
      <c r="N12" s="5"/>
      <c r="O12" s="6">
        <f t="shared" si="4"/>
        <v>46215</v>
      </c>
      <c r="P12" s="10"/>
      <c r="Q12" s="4"/>
      <c r="R12" s="5"/>
      <c r="S12" s="6"/>
      <c r="T12" s="10"/>
      <c r="U12" s="4" t="s">
        <v>68</v>
      </c>
      <c r="V12" s="5"/>
      <c r="W12" s="6">
        <f t="shared" si="6"/>
        <v>46215</v>
      </c>
      <c r="X12" s="10"/>
      <c r="Y12" s="4" t="s">
        <v>69</v>
      </c>
      <c r="Z12" s="5">
        <v>46053.0</v>
      </c>
      <c r="AA12" s="6">
        <f t="shared" si="7"/>
        <v>162</v>
      </c>
      <c r="AB12" s="7"/>
      <c r="AC12" s="4"/>
      <c r="AD12" s="5"/>
      <c r="AE12" s="6"/>
      <c r="AF12" s="10"/>
    </row>
    <row r="13">
      <c r="A13" s="4" t="s">
        <v>53</v>
      </c>
      <c r="B13" s="5">
        <v>46211.0</v>
      </c>
      <c r="C13" s="6">
        <f t="shared" si="1"/>
        <v>4</v>
      </c>
      <c r="D13" s="7"/>
      <c r="E13" s="4"/>
      <c r="F13" s="5"/>
      <c r="G13" s="6"/>
      <c r="H13" s="10"/>
      <c r="I13" s="4"/>
      <c r="J13" s="5"/>
      <c r="K13" s="6"/>
      <c r="L13" s="10"/>
      <c r="M13" s="4"/>
      <c r="N13" s="5"/>
      <c r="O13" s="6"/>
      <c r="P13" s="10"/>
      <c r="Q13" s="4"/>
      <c r="R13" s="5"/>
      <c r="S13" s="6"/>
      <c r="T13" s="10"/>
      <c r="U13" s="4"/>
      <c r="V13" s="5"/>
      <c r="W13" s="6"/>
      <c r="X13" s="10"/>
      <c r="Y13" s="4" t="s">
        <v>70</v>
      </c>
      <c r="Z13" s="5">
        <v>46053.0</v>
      </c>
      <c r="AA13" s="6">
        <f t="shared" si="7"/>
        <v>162</v>
      </c>
      <c r="AB13" s="7"/>
      <c r="AC13" s="4"/>
      <c r="AD13" s="5"/>
      <c r="AE13" s="6"/>
      <c r="AF13" s="10"/>
    </row>
    <row r="14">
      <c r="A14" s="4" t="s">
        <v>60</v>
      </c>
      <c r="B14" s="5">
        <v>46211.0</v>
      </c>
      <c r="C14" s="6">
        <f t="shared" si="1"/>
        <v>4</v>
      </c>
      <c r="D14" s="7"/>
      <c r="E14" s="4"/>
      <c r="F14" s="5"/>
      <c r="G14" s="6"/>
      <c r="H14" s="10"/>
      <c r="I14" s="4"/>
      <c r="J14" s="5"/>
      <c r="K14" s="6"/>
      <c r="L14" s="10"/>
      <c r="M14" s="4"/>
      <c r="N14" s="5"/>
      <c r="O14" s="6"/>
      <c r="P14" s="10"/>
      <c r="Q14" s="4"/>
      <c r="R14" s="5"/>
      <c r="S14" s="6"/>
      <c r="T14" s="10"/>
      <c r="U14" s="4"/>
      <c r="V14" s="5"/>
      <c r="W14" s="6"/>
      <c r="X14" s="10"/>
      <c r="Y14" s="4" t="s">
        <v>71</v>
      </c>
      <c r="Z14" s="5">
        <v>46054.0</v>
      </c>
      <c r="AA14" s="6">
        <f t="shared" si="7"/>
        <v>161</v>
      </c>
      <c r="AB14" s="7"/>
      <c r="AC14" s="4"/>
      <c r="AD14" s="5"/>
      <c r="AE14" s="6"/>
      <c r="AF14" s="10"/>
    </row>
    <row r="15">
      <c r="A15" s="4"/>
      <c r="B15" s="5"/>
      <c r="C15" s="6"/>
      <c r="D15" s="10"/>
      <c r="E15" s="4"/>
      <c r="F15" s="11"/>
      <c r="G15" s="11"/>
      <c r="H15" s="10"/>
      <c r="I15" s="4"/>
      <c r="J15" s="11"/>
      <c r="K15" s="11"/>
      <c r="L15" s="10"/>
      <c r="M15" s="4"/>
      <c r="N15" s="5"/>
      <c r="O15" s="6"/>
      <c r="P15" s="10"/>
      <c r="Q15" s="4"/>
      <c r="R15" s="11"/>
      <c r="S15" s="11"/>
      <c r="T15" s="10"/>
      <c r="U15" s="4"/>
      <c r="V15" s="11"/>
      <c r="W15" s="11"/>
      <c r="X15" s="10"/>
      <c r="Y15" s="4" t="s">
        <v>53</v>
      </c>
      <c r="Z15" s="5">
        <v>46054.0</v>
      </c>
      <c r="AA15" s="6">
        <f t="shared" si="7"/>
        <v>161</v>
      </c>
      <c r="AB15" s="7"/>
      <c r="AC15" s="4"/>
      <c r="AD15" s="11"/>
      <c r="AE15" s="11"/>
      <c r="AF15" s="10"/>
    </row>
    <row r="16">
      <c r="A16" s="4"/>
      <c r="B16" s="5"/>
      <c r="C16" s="6"/>
      <c r="D16" s="7"/>
      <c r="E16" s="4"/>
      <c r="F16" s="11"/>
      <c r="G16" s="11"/>
      <c r="H16" s="10"/>
      <c r="I16" s="4"/>
      <c r="J16" s="11"/>
      <c r="K16" s="11"/>
      <c r="L16" s="10"/>
      <c r="P16" s="10"/>
      <c r="Q16" s="4"/>
      <c r="R16" s="11"/>
      <c r="S16" s="11"/>
      <c r="T16" s="10"/>
      <c r="U16" s="4"/>
      <c r="V16" s="11"/>
      <c r="W16" s="11"/>
      <c r="X16" s="10"/>
      <c r="Y16" s="4" t="s">
        <v>60</v>
      </c>
      <c r="Z16" s="5">
        <v>46053.0</v>
      </c>
      <c r="AA16" s="6">
        <f t="shared" si="7"/>
        <v>162</v>
      </c>
      <c r="AB16" s="7"/>
      <c r="AC16" s="4"/>
      <c r="AD16" s="11"/>
      <c r="AE16" s="11"/>
      <c r="AF16" s="10"/>
    </row>
    <row r="17">
      <c r="A17" s="4"/>
      <c r="B17" s="5"/>
      <c r="C17" s="6"/>
      <c r="D17" s="10"/>
      <c r="E17" s="4"/>
      <c r="F17" s="12"/>
      <c r="G17" s="11"/>
      <c r="H17" s="10"/>
      <c r="I17" s="4"/>
      <c r="J17" s="12"/>
      <c r="K17" s="11"/>
      <c r="L17" s="10"/>
      <c r="M17" s="4"/>
      <c r="N17" s="12"/>
      <c r="O17" s="11"/>
      <c r="P17" s="10"/>
      <c r="Q17" s="4"/>
      <c r="R17" s="12"/>
      <c r="S17" s="11"/>
      <c r="T17" s="10"/>
      <c r="U17" s="4"/>
      <c r="V17" s="12"/>
      <c r="W17" s="11"/>
      <c r="X17" s="10"/>
      <c r="Y17" s="4" t="s">
        <v>72</v>
      </c>
      <c r="Z17" s="5">
        <v>46054.0</v>
      </c>
      <c r="AA17" s="6">
        <f t="shared" si="7"/>
        <v>161</v>
      </c>
      <c r="AB17" s="7"/>
      <c r="AC17" s="4"/>
      <c r="AD17" s="12"/>
      <c r="AE17" s="11"/>
      <c r="AF17" s="10"/>
    </row>
    <row r="18">
      <c r="A18" s="13" t="s">
        <v>73</v>
      </c>
      <c r="B18" s="14">
        <v>46220.0</v>
      </c>
      <c r="C18" s="15">
        <f>B18-TODAY()</f>
        <v>5</v>
      </c>
      <c r="D18" s="16"/>
      <c r="E18" s="13" t="s">
        <v>73</v>
      </c>
      <c r="F18" s="17">
        <v>46143.0</v>
      </c>
      <c r="G18" s="15">
        <f>F18-TODAY()</f>
        <v>-72</v>
      </c>
      <c r="H18" s="16"/>
      <c r="I18" s="13" t="s">
        <v>73</v>
      </c>
      <c r="J18" s="14">
        <v>46275.0</v>
      </c>
      <c r="K18" s="15">
        <f>J18-TODAY()</f>
        <v>60</v>
      </c>
      <c r="L18" s="16"/>
      <c r="M18" s="13" t="s">
        <v>73</v>
      </c>
      <c r="N18" s="14">
        <v>46275.0</v>
      </c>
      <c r="O18" s="15">
        <f>N18-TODAY()</f>
        <v>60</v>
      </c>
      <c r="P18" s="16"/>
      <c r="Q18" s="13" t="s">
        <v>73</v>
      </c>
      <c r="R18" s="14">
        <v>46275.0</v>
      </c>
      <c r="S18" s="15">
        <f>R18-TODAY()</f>
        <v>60</v>
      </c>
      <c r="T18" s="16"/>
      <c r="U18" s="13" t="s">
        <v>73</v>
      </c>
      <c r="V18" s="14">
        <v>46220.0</v>
      </c>
      <c r="W18" s="15">
        <f>V18-TODAY()</f>
        <v>5</v>
      </c>
      <c r="X18" s="16"/>
      <c r="Y18" s="13" t="s">
        <v>73</v>
      </c>
      <c r="Z18" s="14">
        <v>46275.0</v>
      </c>
      <c r="AA18" s="15">
        <f>Z18-TODAY()</f>
        <v>60</v>
      </c>
      <c r="AB18" s="18"/>
      <c r="AC18" s="13" t="s">
        <v>73</v>
      </c>
      <c r="AD18" s="14">
        <v>46275.0</v>
      </c>
      <c r="AE18" s="15">
        <f>AD18-TODAY()</f>
        <v>60</v>
      </c>
      <c r="AF18" s="16"/>
    </row>
  </sheetData>
  <conditionalFormatting sqref="C2:C17 G2:G14 K2:K14 O2:O16 S2:S14 W2:W14 AA2:AA17 AE2:AE14">
    <cfRule type="cellIs" dxfId="0" priority="1" operator="greaterThan">
      <formula>100</formula>
    </cfRule>
  </conditionalFormatting>
  <conditionalFormatting sqref="C2:C17 G2:G14 K2:K14 O2:O16 S2:S14 W2:W14 AA2:AA17 AE2:AE14">
    <cfRule type="colorScale" priority="2">
      <colorScale>
        <cfvo type="formula" val="0"/>
        <cfvo type="formula" val="14"/>
        <cfvo type="formula" val="28"/>
        <color rgb="FF57BB8A"/>
        <color rgb="FFFFD666"/>
        <color rgb="FFE67C73"/>
      </colorScale>
    </cfRule>
  </conditionalFormatting>
  <conditionalFormatting sqref="C18 G18 K18 O18 S18 W18 AA18 AE18">
    <cfRule type="colorScale" priority="3">
      <colorScale>
        <cfvo type="formula" val="0"/>
        <cfvo type="formula" val="14"/>
        <cfvo type="formula" val="28"/>
        <color rgb="FFE67C73"/>
        <color rgb="FFFFD666"/>
        <color rgb="FF57BB8A"/>
      </colorScale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0"/>
    <col customWidth="1" min="5" max="5" width="27.25"/>
    <col customWidth="1" min="6" max="6" width="10.0"/>
    <col customWidth="1" min="7" max="7" width="7.75"/>
    <col customWidth="1" min="8" max="8" width="16.38"/>
    <col customWidth="1" min="9" max="9" width="25.13"/>
    <col customWidth="1" min="10" max="10" width="10.75"/>
    <col customWidth="1" min="11" max="11" width="8.25"/>
    <col customWidth="1" min="12" max="12" width="10.13"/>
    <col customWidth="1" min="13" max="13" width="12.0"/>
    <col customWidth="1" min="14" max="14" width="10.0"/>
    <col customWidth="1" min="15" max="15" width="7.75"/>
    <col customWidth="1" min="16" max="16" width="16.38"/>
    <col customWidth="1" min="17" max="17" width="26.5"/>
    <col customWidth="1" min="18" max="18" width="11.25"/>
    <col customWidth="1" min="19" max="19" width="11.75"/>
    <col customWidth="1" min="20" max="20" width="11.25"/>
    <col customWidth="1" min="21" max="21" width="31.63"/>
    <col customWidth="1" min="22" max="22" width="10.75"/>
    <col customWidth="1" min="23" max="23" width="8.25"/>
    <col customWidth="1" min="24" max="24" width="5.63"/>
    <col customWidth="1" min="25" max="25" width="22.5"/>
    <col customWidth="1" min="26" max="26" width="10.0"/>
    <col customWidth="1" min="27" max="27" width="7.75"/>
    <col customWidth="1" min="28" max="28" width="16.38"/>
    <col customWidth="1" min="29" max="29" width="19.88"/>
    <col customWidth="1" min="30" max="30" width="10.0"/>
    <col customWidth="1" min="31" max="31" width="7.75"/>
    <col customWidth="1" min="32" max="32" width="16.38"/>
    <col customWidth="1" min="33" max="33" width="19.88"/>
    <col customWidth="1" min="34" max="34" width="10.0"/>
    <col customWidth="1" min="35" max="35" width="7.75"/>
    <col customWidth="1" min="36" max="36" width="11.5"/>
  </cols>
  <sheetData>
    <row r="1">
      <c r="A1" s="1" t="s">
        <v>74</v>
      </c>
      <c r="B1" s="2" t="s">
        <v>1</v>
      </c>
      <c r="C1" s="2" t="s">
        <v>2</v>
      </c>
      <c r="D1" s="3" t="s">
        <v>3</v>
      </c>
      <c r="E1" s="1" t="s">
        <v>75</v>
      </c>
      <c r="F1" s="2" t="s">
        <v>1</v>
      </c>
      <c r="G1" s="2" t="s">
        <v>2</v>
      </c>
      <c r="H1" s="3" t="s">
        <v>3</v>
      </c>
      <c r="I1" s="1" t="s">
        <v>76</v>
      </c>
      <c r="J1" s="2" t="s">
        <v>1</v>
      </c>
      <c r="K1" s="2" t="s">
        <v>2</v>
      </c>
      <c r="L1" s="3" t="s">
        <v>3</v>
      </c>
      <c r="M1" s="1" t="s">
        <v>77</v>
      </c>
      <c r="N1" s="2" t="s">
        <v>1</v>
      </c>
      <c r="O1" s="2" t="s">
        <v>2</v>
      </c>
      <c r="P1" s="3" t="s">
        <v>3</v>
      </c>
      <c r="Q1" s="1" t="s">
        <v>78</v>
      </c>
      <c r="R1" s="2" t="s">
        <v>1</v>
      </c>
      <c r="S1" s="2" t="s">
        <v>2</v>
      </c>
      <c r="T1" s="3" t="s">
        <v>3</v>
      </c>
      <c r="U1" s="1" t="s">
        <v>79</v>
      </c>
      <c r="V1" s="2" t="s">
        <v>1</v>
      </c>
      <c r="W1" s="2" t="s">
        <v>2</v>
      </c>
      <c r="X1" s="3" t="s">
        <v>3</v>
      </c>
      <c r="Y1" s="1" t="s">
        <v>80</v>
      </c>
      <c r="Z1" s="2" t="s">
        <v>1</v>
      </c>
      <c r="AA1" s="2" t="s">
        <v>2</v>
      </c>
      <c r="AB1" s="3" t="s">
        <v>3</v>
      </c>
      <c r="AC1" s="1" t="s">
        <v>81</v>
      </c>
      <c r="AD1" s="2" t="s">
        <v>1</v>
      </c>
      <c r="AE1" s="2" t="s">
        <v>2</v>
      </c>
      <c r="AF1" s="19" t="s">
        <v>3</v>
      </c>
      <c r="AG1" s="1" t="s">
        <v>82</v>
      </c>
      <c r="AH1" s="2" t="s">
        <v>1</v>
      </c>
      <c r="AI1" s="2" t="s">
        <v>2</v>
      </c>
      <c r="AJ1" s="19" t="s">
        <v>3</v>
      </c>
    </row>
    <row r="2">
      <c r="A2" s="4" t="s">
        <v>11</v>
      </c>
      <c r="B2" s="5">
        <v>46198.0</v>
      </c>
      <c r="C2" s="6">
        <f t="shared" ref="C2:C13" si="1">TODAY()-B2</f>
        <v>17</v>
      </c>
      <c r="D2" s="7"/>
      <c r="E2" s="4" t="s">
        <v>11</v>
      </c>
      <c r="F2" s="5">
        <v>46188.0</v>
      </c>
      <c r="G2" s="6">
        <f t="shared" ref="G2:G10" si="2">TODAY()-F2</f>
        <v>27</v>
      </c>
      <c r="H2" s="7"/>
      <c r="I2" s="4" t="s">
        <v>11</v>
      </c>
      <c r="J2" s="5">
        <v>46188.0</v>
      </c>
      <c r="K2" s="6">
        <f t="shared" ref="K2:K14" si="3">TODAY()-J2</f>
        <v>27</v>
      </c>
      <c r="L2" s="7"/>
      <c r="M2" s="4" t="s">
        <v>11</v>
      </c>
      <c r="N2" s="5">
        <v>46147.0</v>
      </c>
      <c r="O2" s="6">
        <f t="shared" ref="O2:O15" si="4">TODAY()-N2</f>
        <v>68</v>
      </c>
      <c r="P2" s="7"/>
      <c r="Q2" s="4" t="s">
        <v>11</v>
      </c>
      <c r="R2" s="5">
        <v>46142.0</v>
      </c>
      <c r="S2" s="6">
        <f t="shared" ref="S2:S17" si="5">TODAY()-R2</f>
        <v>73</v>
      </c>
      <c r="T2" s="7"/>
      <c r="U2" s="4" t="s">
        <v>11</v>
      </c>
      <c r="V2" s="5">
        <v>46139.0</v>
      </c>
      <c r="W2" s="6">
        <f t="shared" ref="W2:W17" si="6">TODAY()-V2</f>
        <v>76</v>
      </c>
      <c r="X2" s="7"/>
      <c r="Y2" s="4" t="s">
        <v>11</v>
      </c>
      <c r="Z2" s="5">
        <v>46102.0</v>
      </c>
      <c r="AA2" s="6">
        <f t="shared" ref="AA2:AA17" si="7">TODAY()-Z2</f>
        <v>113</v>
      </c>
      <c r="AB2" s="7"/>
      <c r="AC2" s="4" t="s">
        <v>11</v>
      </c>
      <c r="AD2" s="5">
        <v>45984.0</v>
      </c>
      <c r="AE2" s="6">
        <f t="shared" ref="AE2:AE14" si="8">TODAY()-AD2</f>
        <v>231</v>
      </c>
      <c r="AF2" s="20"/>
      <c r="AG2" s="4" t="s">
        <v>11</v>
      </c>
      <c r="AH2" s="5">
        <v>46080.0</v>
      </c>
      <c r="AI2" s="6">
        <f t="shared" ref="AI2:AI10" si="9">TODAY()-AH2</f>
        <v>135</v>
      </c>
      <c r="AJ2" s="20"/>
    </row>
    <row r="3">
      <c r="A3" s="4" t="s">
        <v>12</v>
      </c>
      <c r="B3" s="5">
        <v>46198.0</v>
      </c>
      <c r="C3" s="6">
        <f t="shared" si="1"/>
        <v>17</v>
      </c>
      <c r="D3" s="7"/>
      <c r="E3" s="4" t="s">
        <v>12</v>
      </c>
      <c r="F3" s="5">
        <v>46187.0</v>
      </c>
      <c r="G3" s="6">
        <f t="shared" si="2"/>
        <v>28</v>
      </c>
      <c r="H3" s="7"/>
      <c r="I3" s="4" t="s">
        <v>13</v>
      </c>
      <c r="J3" s="5">
        <v>46188.0</v>
      </c>
      <c r="K3" s="6">
        <f t="shared" si="3"/>
        <v>27</v>
      </c>
      <c r="L3" s="7"/>
      <c r="M3" s="4" t="s">
        <v>12</v>
      </c>
      <c r="N3" s="5">
        <v>46147.0</v>
      </c>
      <c r="O3" s="6">
        <f t="shared" si="4"/>
        <v>68</v>
      </c>
      <c r="P3" s="7"/>
      <c r="Q3" s="4" t="s">
        <v>12</v>
      </c>
      <c r="R3" s="5">
        <v>46142.0</v>
      </c>
      <c r="S3" s="6">
        <f t="shared" si="5"/>
        <v>73</v>
      </c>
      <c r="T3" s="7"/>
      <c r="U3" s="4" t="s">
        <v>13</v>
      </c>
      <c r="V3" s="5">
        <v>46139.0</v>
      </c>
      <c r="W3" s="6">
        <f t="shared" si="6"/>
        <v>76</v>
      </c>
      <c r="X3" s="7"/>
      <c r="Y3" s="4" t="s">
        <v>12</v>
      </c>
      <c r="Z3" s="5">
        <v>46102.0</v>
      </c>
      <c r="AA3" s="6">
        <f t="shared" si="7"/>
        <v>113</v>
      </c>
      <c r="AB3" s="7"/>
      <c r="AC3" s="4" t="s">
        <v>12</v>
      </c>
      <c r="AD3" s="5">
        <v>45984.0</v>
      </c>
      <c r="AE3" s="6">
        <f t="shared" si="8"/>
        <v>231</v>
      </c>
      <c r="AF3" s="20" t="s">
        <v>83</v>
      </c>
      <c r="AG3" s="4" t="s">
        <v>13</v>
      </c>
      <c r="AH3" s="5">
        <v>46080.0</v>
      </c>
      <c r="AI3" s="6">
        <f t="shared" si="9"/>
        <v>135</v>
      </c>
      <c r="AJ3" s="20"/>
    </row>
    <row r="4">
      <c r="A4" s="4" t="s">
        <v>84</v>
      </c>
      <c r="B4" s="5">
        <v>46198.0</v>
      </c>
      <c r="C4" s="6">
        <f t="shared" si="1"/>
        <v>17</v>
      </c>
      <c r="D4" s="7"/>
      <c r="E4" s="4" t="s">
        <v>19</v>
      </c>
      <c r="F4" s="5">
        <v>46188.0</v>
      </c>
      <c r="G4" s="6">
        <f t="shared" si="2"/>
        <v>27</v>
      </c>
      <c r="H4" s="7"/>
      <c r="I4" s="4" t="s">
        <v>22</v>
      </c>
      <c r="J4" s="5">
        <v>46188.0</v>
      </c>
      <c r="K4" s="6">
        <f t="shared" si="3"/>
        <v>27</v>
      </c>
      <c r="L4" s="7"/>
      <c r="M4" s="4" t="s">
        <v>85</v>
      </c>
      <c r="N4" s="5">
        <v>46147.0</v>
      </c>
      <c r="O4" s="6">
        <f t="shared" si="4"/>
        <v>68</v>
      </c>
      <c r="P4" s="7"/>
      <c r="Q4" s="4" t="s">
        <v>85</v>
      </c>
      <c r="R4" s="5">
        <v>46142.0</v>
      </c>
      <c r="S4" s="6">
        <f t="shared" si="5"/>
        <v>73</v>
      </c>
      <c r="T4" s="7"/>
      <c r="U4" s="4" t="s">
        <v>86</v>
      </c>
      <c r="V4" s="5">
        <v>46124.0</v>
      </c>
      <c r="W4" s="6">
        <f t="shared" si="6"/>
        <v>91</v>
      </c>
      <c r="X4" s="7"/>
      <c r="Y4" s="4" t="s">
        <v>87</v>
      </c>
      <c r="Z4" s="5">
        <v>46112.0</v>
      </c>
      <c r="AA4" s="6">
        <f t="shared" si="7"/>
        <v>103</v>
      </c>
      <c r="AB4" s="7"/>
      <c r="AC4" s="4" t="s">
        <v>16</v>
      </c>
      <c r="AD4" s="5">
        <v>45984.0</v>
      </c>
      <c r="AE4" s="6">
        <f t="shared" si="8"/>
        <v>231</v>
      </c>
      <c r="AF4" s="20"/>
      <c r="AG4" s="4" t="s">
        <v>88</v>
      </c>
      <c r="AH4" s="5">
        <v>46080.0</v>
      </c>
      <c r="AI4" s="6">
        <f t="shared" si="9"/>
        <v>135</v>
      </c>
      <c r="AJ4" s="20"/>
    </row>
    <row r="5">
      <c r="A5" s="4" t="s">
        <v>89</v>
      </c>
      <c r="B5" s="5">
        <v>46198.0</v>
      </c>
      <c r="C5" s="6">
        <f t="shared" si="1"/>
        <v>17</v>
      </c>
      <c r="D5" s="7"/>
      <c r="E5" s="4" t="s">
        <v>90</v>
      </c>
      <c r="F5" s="5">
        <v>46188.0</v>
      </c>
      <c r="G5" s="6">
        <f t="shared" si="2"/>
        <v>27</v>
      </c>
      <c r="H5" s="7"/>
      <c r="I5" s="4" t="s">
        <v>91</v>
      </c>
      <c r="J5" s="5">
        <v>46188.0</v>
      </c>
      <c r="K5" s="6">
        <f t="shared" si="3"/>
        <v>27</v>
      </c>
      <c r="L5" s="7"/>
      <c r="M5" s="4" t="s">
        <v>92</v>
      </c>
      <c r="N5" s="5">
        <v>46147.0</v>
      </c>
      <c r="O5" s="6">
        <f t="shared" si="4"/>
        <v>68</v>
      </c>
      <c r="P5" s="7"/>
      <c r="Q5" s="4" t="s">
        <v>22</v>
      </c>
      <c r="R5" s="5">
        <v>46142.0</v>
      </c>
      <c r="S5" s="6">
        <f t="shared" si="5"/>
        <v>73</v>
      </c>
      <c r="T5" s="7"/>
      <c r="U5" s="4" t="s">
        <v>93</v>
      </c>
      <c r="V5" s="5">
        <v>46124.0</v>
      </c>
      <c r="W5" s="6">
        <f t="shared" si="6"/>
        <v>91</v>
      </c>
      <c r="X5" s="7"/>
      <c r="Y5" s="4" t="s">
        <v>94</v>
      </c>
      <c r="Z5" s="5">
        <v>46112.0</v>
      </c>
      <c r="AA5" s="6">
        <f t="shared" si="7"/>
        <v>103</v>
      </c>
      <c r="AB5" s="7"/>
      <c r="AC5" s="4" t="s">
        <v>95</v>
      </c>
      <c r="AD5" s="5">
        <v>45984.0</v>
      </c>
      <c r="AE5" s="6">
        <f t="shared" si="8"/>
        <v>231</v>
      </c>
      <c r="AF5" s="20" t="s">
        <v>96</v>
      </c>
      <c r="AG5" s="4" t="s">
        <v>97</v>
      </c>
      <c r="AH5" s="5">
        <v>46080.0</v>
      </c>
      <c r="AI5" s="6">
        <f t="shared" si="9"/>
        <v>135</v>
      </c>
      <c r="AJ5" s="20"/>
    </row>
    <row r="6">
      <c r="A6" s="4" t="s">
        <v>98</v>
      </c>
      <c r="B6" s="5">
        <v>46198.0</v>
      </c>
      <c r="C6" s="6">
        <f t="shared" si="1"/>
        <v>17</v>
      </c>
      <c r="D6" s="7"/>
      <c r="E6" s="4" t="s">
        <v>99</v>
      </c>
      <c r="F6" s="5">
        <v>46188.0</v>
      </c>
      <c r="G6" s="6">
        <f t="shared" si="2"/>
        <v>27</v>
      </c>
      <c r="H6" s="7"/>
      <c r="I6" s="4" t="s">
        <v>100</v>
      </c>
      <c r="J6" s="5">
        <v>46188.0</v>
      </c>
      <c r="K6" s="6">
        <f t="shared" si="3"/>
        <v>27</v>
      </c>
      <c r="L6" s="7"/>
      <c r="M6" s="4" t="s">
        <v>28</v>
      </c>
      <c r="N6" s="5">
        <v>46147.0</v>
      </c>
      <c r="O6" s="6">
        <f t="shared" si="4"/>
        <v>68</v>
      </c>
      <c r="P6" s="7"/>
      <c r="Q6" s="4" t="s">
        <v>101</v>
      </c>
      <c r="R6" s="5">
        <v>46140.0</v>
      </c>
      <c r="S6" s="6">
        <f t="shared" si="5"/>
        <v>75</v>
      </c>
      <c r="T6" s="7"/>
      <c r="U6" s="4" t="s">
        <v>102</v>
      </c>
      <c r="V6" s="5">
        <v>46136.0</v>
      </c>
      <c r="W6" s="6">
        <f t="shared" si="6"/>
        <v>79</v>
      </c>
      <c r="X6" s="7"/>
      <c r="Y6" s="4" t="s">
        <v>103</v>
      </c>
      <c r="Z6" s="5">
        <v>46112.0</v>
      </c>
      <c r="AA6" s="6">
        <f t="shared" si="7"/>
        <v>103</v>
      </c>
      <c r="AB6" s="7"/>
      <c r="AC6" s="4" t="s">
        <v>104</v>
      </c>
      <c r="AD6" s="5">
        <v>45984.0</v>
      </c>
      <c r="AE6" s="6">
        <f t="shared" si="8"/>
        <v>231</v>
      </c>
      <c r="AF6" s="20"/>
      <c r="AG6" s="4" t="s">
        <v>105</v>
      </c>
      <c r="AH6" s="5">
        <v>46080.0</v>
      </c>
      <c r="AI6" s="6">
        <f t="shared" si="9"/>
        <v>135</v>
      </c>
      <c r="AJ6" s="20"/>
    </row>
    <row r="7">
      <c r="A7" s="4" t="s">
        <v>106</v>
      </c>
      <c r="B7" s="5">
        <v>46198.0</v>
      </c>
      <c r="C7" s="6">
        <f t="shared" si="1"/>
        <v>17</v>
      </c>
      <c r="D7" s="8"/>
      <c r="E7" s="4" t="s">
        <v>107</v>
      </c>
      <c r="F7" s="5">
        <v>46188.0</v>
      </c>
      <c r="G7" s="6">
        <f t="shared" si="2"/>
        <v>27</v>
      </c>
      <c r="H7" s="8"/>
      <c r="I7" s="4" t="s">
        <v>108</v>
      </c>
      <c r="J7" s="5">
        <v>46188.0</v>
      </c>
      <c r="K7" s="6">
        <f t="shared" si="3"/>
        <v>27</v>
      </c>
      <c r="L7" s="8"/>
      <c r="M7" s="4" t="s">
        <v>107</v>
      </c>
      <c r="N7" s="5">
        <v>46147.0</v>
      </c>
      <c r="O7" s="6">
        <f t="shared" si="4"/>
        <v>68</v>
      </c>
      <c r="P7" s="8"/>
      <c r="Q7" s="4" t="s">
        <v>109</v>
      </c>
      <c r="R7" s="5">
        <v>46140.0</v>
      </c>
      <c r="S7" s="6">
        <f t="shared" si="5"/>
        <v>75</v>
      </c>
      <c r="T7" s="8"/>
      <c r="U7" s="4" t="s">
        <v>110</v>
      </c>
      <c r="V7" s="5">
        <v>46098.0</v>
      </c>
      <c r="W7" s="6">
        <f t="shared" si="6"/>
        <v>117</v>
      </c>
      <c r="X7" s="8"/>
      <c r="Y7" s="4" t="s">
        <v>111</v>
      </c>
      <c r="Z7" s="5">
        <v>46104.0</v>
      </c>
      <c r="AA7" s="6">
        <f t="shared" si="7"/>
        <v>111</v>
      </c>
      <c r="AB7" s="8"/>
      <c r="AC7" s="4" t="s">
        <v>112</v>
      </c>
      <c r="AD7" s="5">
        <v>45984.0</v>
      </c>
      <c r="AE7" s="6">
        <f t="shared" si="8"/>
        <v>231</v>
      </c>
      <c r="AF7" s="21"/>
      <c r="AG7" s="4" t="s">
        <v>53</v>
      </c>
      <c r="AH7" s="5">
        <v>46080.0</v>
      </c>
      <c r="AI7" s="6">
        <f t="shared" si="9"/>
        <v>135</v>
      </c>
      <c r="AJ7" s="21"/>
    </row>
    <row r="8">
      <c r="A8" s="4" t="s">
        <v>113</v>
      </c>
      <c r="B8" s="5">
        <v>46198.0</v>
      </c>
      <c r="C8" s="6">
        <f t="shared" si="1"/>
        <v>17</v>
      </c>
      <c r="D8" s="10"/>
      <c r="E8" s="4" t="s">
        <v>114</v>
      </c>
      <c r="F8" s="5">
        <v>46188.0</v>
      </c>
      <c r="G8" s="6">
        <f t="shared" si="2"/>
        <v>27</v>
      </c>
      <c r="H8" s="10"/>
      <c r="I8" s="4" t="s">
        <v>115</v>
      </c>
      <c r="J8" s="5">
        <v>46188.0</v>
      </c>
      <c r="K8" s="6">
        <f t="shared" si="3"/>
        <v>27</v>
      </c>
      <c r="L8" s="10"/>
      <c r="M8" s="4" t="s">
        <v>116</v>
      </c>
      <c r="N8" s="5">
        <v>46147.0</v>
      </c>
      <c r="O8" s="6">
        <f t="shared" si="4"/>
        <v>68</v>
      </c>
      <c r="P8" s="10"/>
      <c r="Q8" s="4" t="s">
        <v>117</v>
      </c>
      <c r="R8" s="5">
        <v>46140.0</v>
      </c>
      <c r="S8" s="6">
        <f t="shared" si="5"/>
        <v>75</v>
      </c>
      <c r="T8" s="8"/>
      <c r="U8" s="4" t="s">
        <v>118</v>
      </c>
      <c r="V8" s="5">
        <v>46124.0</v>
      </c>
      <c r="W8" s="6">
        <f t="shared" si="6"/>
        <v>91</v>
      </c>
      <c r="X8" s="10"/>
      <c r="Y8" s="4" t="s">
        <v>119</v>
      </c>
      <c r="Z8" s="5">
        <v>46109.0</v>
      </c>
      <c r="AA8" s="6">
        <f t="shared" si="7"/>
        <v>106</v>
      </c>
      <c r="AB8" s="10"/>
      <c r="AC8" s="4" t="s">
        <v>120</v>
      </c>
      <c r="AD8" s="5">
        <v>45984.0</v>
      </c>
      <c r="AE8" s="6">
        <f t="shared" si="8"/>
        <v>231</v>
      </c>
      <c r="AF8" s="22"/>
      <c r="AG8" s="4" t="s">
        <v>121</v>
      </c>
      <c r="AH8" s="5">
        <v>46080.0</v>
      </c>
      <c r="AI8" s="6">
        <f t="shared" si="9"/>
        <v>135</v>
      </c>
      <c r="AJ8" s="20"/>
    </row>
    <row r="9">
      <c r="A9" s="4" t="s">
        <v>122</v>
      </c>
      <c r="B9" s="5">
        <v>46198.0</v>
      </c>
      <c r="C9" s="6">
        <f t="shared" si="1"/>
        <v>17</v>
      </c>
      <c r="D9" s="10"/>
      <c r="E9" s="4" t="s">
        <v>123</v>
      </c>
      <c r="F9" s="5">
        <v>46188.0</v>
      </c>
      <c r="G9" s="6">
        <f t="shared" si="2"/>
        <v>27</v>
      </c>
      <c r="H9" s="10"/>
      <c r="I9" s="4" t="s">
        <v>124</v>
      </c>
      <c r="J9" s="5">
        <v>46188.0</v>
      </c>
      <c r="K9" s="6">
        <f t="shared" si="3"/>
        <v>27</v>
      </c>
      <c r="L9" s="10"/>
      <c r="M9" s="4" t="s">
        <v>53</v>
      </c>
      <c r="N9" s="5">
        <v>46147.0</v>
      </c>
      <c r="O9" s="6">
        <f t="shared" si="4"/>
        <v>68</v>
      </c>
      <c r="P9" s="10"/>
      <c r="Q9" s="4" t="s">
        <v>125</v>
      </c>
      <c r="R9" s="5">
        <v>46141.0</v>
      </c>
      <c r="S9" s="6">
        <f t="shared" si="5"/>
        <v>74</v>
      </c>
      <c r="T9" s="8"/>
      <c r="U9" s="4" t="s">
        <v>126</v>
      </c>
      <c r="V9" s="5">
        <v>46126.0</v>
      </c>
      <c r="W9" s="6">
        <f t="shared" si="6"/>
        <v>89</v>
      </c>
      <c r="X9" s="10"/>
      <c r="Y9" s="4" t="s">
        <v>127</v>
      </c>
      <c r="Z9" s="5">
        <v>46109.0</v>
      </c>
      <c r="AA9" s="6">
        <f t="shared" si="7"/>
        <v>106</v>
      </c>
      <c r="AB9" s="10"/>
      <c r="AC9" s="4" t="s">
        <v>128</v>
      </c>
      <c r="AD9" s="5"/>
      <c r="AE9" s="6">
        <f t="shared" si="8"/>
        <v>46215</v>
      </c>
      <c r="AF9" s="20" t="s">
        <v>129</v>
      </c>
      <c r="AG9" s="4" t="s">
        <v>130</v>
      </c>
      <c r="AH9" s="5">
        <v>46080.0</v>
      </c>
      <c r="AI9" s="6">
        <f t="shared" si="9"/>
        <v>135</v>
      </c>
      <c r="AJ9" s="22"/>
    </row>
    <row r="10">
      <c r="A10" s="4" t="s">
        <v>131</v>
      </c>
      <c r="B10" s="5">
        <v>46198.0</v>
      </c>
      <c r="C10" s="6">
        <f t="shared" si="1"/>
        <v>17</v>
      </c>
      <c r="D10" s="10"/>
      <c r="E10" s="4" t="s">
        <v>60</v>
      </c>
      <c r="F10" s="5">
        <v>46188.0</v>
      </c>
      <c r="G10" s="6">
        <f t="shared" si="2"/>
        <v>27</v>
      </c>
      <c r="H10" s="10"/>
      <c r="I10" s="4" t="s">
        <v>132</v>
      </c>
      <c r="J10" s="5">
        <v>46188.0</v>
      </c>
      <c r="K10" s="6">
        <f t="shared" si="3"/>
        <v>27</v>
      </c>
      <c r="L10" s="10"/>
      <c r="M10" s="4" t="s">
        <v>60</v>
      </c>
      <c r="N10" s="5">
        <v>46147.0</v>
      </c>
      <c r="O10" s="6">
        <f t="shared" si="4"/>
        <v>68</v>
      </c>
      <c r="P10" s="10"/>
      <c r="Q10" s="4" t="s">
        <v>133</v>
      </c>
      <c r="R10" s="5">
        <v>46142.0</v>
      </c>
      <c r="S10" s="6">
        <f t="shared" si="5"/>
        <v>73</v>
      </c>
      <c r="T10" s="7"/>
      <c r="U10" s="4" t="s">
        <v>134</v>
      </c>
      <c r="V10" s="5">
        <v>46139.0</v>
      </c>
      <c r="W10" s="6">
        <f t="shared" si="6"/>
        <v>76</v>
      </c>
      <c r="X10" s="10"/>
      <c r="Y10" s="4" t="s">
        <v>135</v>
      </c>
      <c r="Z10" s="5">
        <v>46109.0</v>
      </c>
      <c r="AA10" s="6">
        <f t="shared" si="7"/>
        <v>106</v>
      </c>
      <c r="AB10" s="10"/>
      <c r="AC10" s="9" t="s">
        <v>136</v>
      </c>
      <c r="AD10" s="5"/>
      <c r="AE10" s="6">
        <f t="shared" si="8"/>
        <v>46215</v>
      </c>
      <c r="AF10" s="22"/>
      <c r="AG10" s="4" t="s">
        <v>137</v>
      </c>
      <c r="AH10" s="5">
        <v>46080.0</v>
      </c>
      <c r="AI10" s="6">
        <f t="shared" si="9"/>
        <v>135</v>
      </c>
      <c r="AJ10" s="20"/>
    </row>
    <row r="11">
      <c r="A11" s="4" t="s">
        <v>138</v>
      </c>
      <c r="B11" s="5">
        <v>46198.0</v>
      </c>
      <c r="C11" s="6">
        <f t="shared" si="1"/>
        <v>17</v>
      </c>
      <c r="D11" s="10"/>
      <c r="E11" s="4"/>
      <c r="F11" s="5"/>
      <c r="G11" s="6"/>
      <c r="H11" s="10"/>
      <c r="I11" s="4" t="s">
        <v>139</v>
      </c>
      <c r="J11" s="5">
        <v>46188.0</v>
      </c>
      <c r="K11" s="6">
        <f t="shared" si="3"/>
        <v>27</v>
      </c>
      <c r="L11" s="10"/>
      <c r="M11" s="4" t="s">
        <v>140</v>
      </c>
      <c r="N11" s="5">
        <v>46147.0</v>
      </c>
      <c r="O11" s="6">
        <f t="shared" si="4"/>
        <v>68</v>
      </c>
      <c r="P11" s="7"/>
      <c r="Q11" s="4" t="s">
        <v>141</v>
      </c>
      <c r="R11" s="5">
        <v>46142.0</v>
      </c>
      <c r="S11" s="6">
        <f t="shared" si="5"/>
        <v>73</v>
      </c>
      <c r="T11" s="7"/>
      <c r="U11" s="4" t="s">
        <v>125</v>
      </c>
      <c r="V11" s="5">
        <v>46139.0</v>
      </c>
      <c r="W11" s="6">
        <f t="shared" si="6"/>
        <v>76</v>
      </c>
      <c r="X11" s="10"/>
      <c r="Y11" s="4" t="s">
        <v>142</v>
      </c>
      <c r="Z11" s="5">
        <v>46109.0</v>
      </c>
      <c r="AA11" s="6">
        <f t="shared" si="7"/>
        <v>106</v>
      </c>
      <c r="AB11" s="10"/>
      <c r="AC11" s="4" t="s">
        <v>143</v>
      </c>
      <c r="AD11" s="11"/>
      <c r="AE11" s="6">
        <f t="shared" si="8"/>
        <v>46215</v>
      </c>
      <c r="AF11" s="22"/>
      <c r="AG11" s="4"/>
      <c r="AH11" s="11"/>
      <c r="AI11" s="11"/>
      <c r="AJ11" s="22"/>
    </row>
    <row r="12">
      <c r="A12" s="4" t="s">
        <v>144</v>
      </c>
      <c r="B12" s="5">
        <v>46197.0</v>
      </c>
      <c r="C12" s="6">
        <f t="shared" si="1"/>
        <v>18</v>
      </c>
      <c r="D12" s="10"/>
      <c r="E12" s="4"/>
      <c r="F12" s="5"/>
      <c r="G12" s="6"/>
      <c r="H12" s="10"/>
      <c r="I12" s="4" t="s">
        <v>145</v>
      </c>
      <c r="J12" s="5">
        <v>46188.0</v>
      </c>
      <c r="K12" s="6">
        <f t="shared" si="3"/>
        <v>27</v>
      </c>
      <c r="L12" s="10"/>
      <c r="M12" s="4" t="s">
        <v>146</v>
      </c>
      <c r="N12" s="5">
        <v>46147.0</v>
      </c>
      <c r="O12" s="6">
        <f t="shared" si="4"/>
        <v>68</v>
      </c>
      <c r="P12" s="10"/>
      <c r="Q12" s="4" t="s">
        <v>147</v>
      </c>
      <c r="R12" s="5">
        <v>46142.0</v>
      </c>
      <c r="S12" s="6">
        <f t="shared" si="5"/>
        <v>73</v>
      </c>
      <c r="T12" s="7"/>
      <c r="U12" s="4" t="s">
        <v>148</v>
      </c>
      <c r="V12" s="5">
        <v>46136.0</v>
      </c>
      <c r="W12" s="6">
        <f t="shared" si="6"/>
        <v>79</v>
      </c>
      <c r="X12" s="23"/>
      <c r="Y12" s="4" t="s">
        <v>149</v>
      </c>
      <c r="Z12" s="5">
        <v>46109.0</v>
      </c>
      <c r="AA12" s="6">
        <f t="shared" si="7"/>
        <v>106</v>
      </c>
      <c r="AB12" s="10"/>
      <c r="AC12" s="4" t="s">
        <v>150</v>
      </c>
      <c r="AD12" s="11"/>
      <c r="AE12" s="6">
        <f t="shared" si="8"/>
        <v>46215</v>
      </c>
      <c r="AG12" s="4"/>
      <c r="AH12" s="11"/>
      <c r="AI12" s="11"/>
      <c r="AJ12" s="22"/>
    </row>
    <row r="13">
      <c r="A13" s="4" t="s">
        <v>151</v>
      </c>
      <c r="B13" s="5">
        <v>46198.0</v>
      </c>
      <c r="C13" s="6">
        <f t="shared" si="1"/>
        <v>17</v>
      </c>
      <c r="D13" s="10"/>
      <c r="E13" s="4"/>
      <c r="F13" s="5"/>
      <c r="G13" s="6"/>
      <c r="H13" s="10"/>
      <c r="I13" s="4" t="s">
        <v>152</v>
      </c>
      <c r="J13" s="5">
        <v>46188.0</v>
      </c>
      <c r="K13" s="6">
        <f t="shared" si="3"/>
        <v>27</v>
      </c>
      <c r="L13" s="10"/>
      <c r="M13" s="4" t="s">
        <v>153</v>
      </c>
      <c r="N13" s="5">
        <v>46147.0</v>
      </c>
      <c r="O13" s="6">
        <f t="shared" si="4"/>
        <v>68</v>
      </c>
      <c r="P13" s="10"/>
      <c r="Q13" s="4" t="s">
        <v>154</v>
      </c>
      <c r="R13" s="5">
        <v>46143.0</v>
      </c>
      <c r="S13" s="6">
        <f t="shared" si="5"/>
        <v>72</v>
      </c>
      <c r="T13" s="7"/>
      <c r="U13" s="4" t="s">
        <v>155</v>
      </c>
      <c r="V13" s="5">
        <v>46139.0</v>
      </c>
      <c r="W13" s="6">
        <f t="shared" si="6"/>
        <v>76</v>
      </c>
      <c r="X13" s="7"/>
      <c r="Y13" s="4" t="s">
        <v>156</v>
      </c>
      <c r="Z13" s="5">
        <v>46109.0</v>
      </c>
      <c r="AA13" s="6">
        <f t="shared" si="7"/>
        <v>106</v>
      </c>
      <c r="AB13" s="10"/>
      <c r="AC13" s="4" t="s">
        <v>53</v>
      </c>
      <c r="AD13" s="11"/>
      <c r="AE13" s="6">
        <f t="shared" si="8"/>
        <v>46215</v>
      </c>
      <c r="AF13" s="20" t="s">
        <v>157</v>
      </c>
      <c r="AG13" s="4"/>
      <c r="AH13" s="11"/>
      <c r="AI13" s="11"/>
      <c r="AJ13" s="22"/>
    </row>
    <row r="14">
      <c r="A14" s="4"/>
      <c r="B14" s="5"/>
      <c r="C14" s="6"/>
      <c r="D14" s="10"/>
      <c r="E14" s="4"/>
      <c r="F14" s="5"/>
      <c r="G14" s="6"/>
      <c r="H14" s="10"/>
      <c r="I14" s="4" t="s">
        <v>60</v>
      </c>
      <c r="J14" s="5">
        <v>46188.0</v>
      </c>
      <c r="K14" s="6">
        <f t="shared" si="3"/>
        <v>27</v>
      </c>
      <c r="L14" s="10"/>
      <c r="M14" s="4" t="s">
        <v>158</v>
      </c>
      <c r="N14" s="5">
        <v>46147.0</v>
      </c>
      <c r="O14" s="6">
        <f t="shared" si="4"/>
        <v>68</v>
      </c>
      <c r="P14" s="7"/>
      <c r="Q14" s="4" t="s">
        <v>159</v>
      </c>
      <c r="R14" s="5">
        <v>46143.0</v>
      </c>
      <c r="S14" s="6">
        <f t="shared" si="5"/>
        <v>72</v>
      </c>
      <c r="T14" s="7"/>
      <c r="U14" s="4" t="s">
        <v>160</v>
      </c>
      <c r="V14" s="5">
        <v>46139.0</v>
      </c>
      <c r="W14" s="6">
        <f t="shared" si="6"/>
        <v>76</v>
      </c>
      <c r="X14" s="10"/>
      <c r="Y14" s="4" t="s">
        <v>161</v>
      </c>
      <c r="Z14" s="5">
        <v>46112.0</v>
      </c>
      <c r="AA14" s="6">
        <f t="shared" si="7"/>
        <v>103</v>
      </c>
      <c r="AB14" s="10"/>
      <c r="AC14" s="4" t="s">
        <v>60</v>
      </c>
      <c r="AD14" s="11"/>
      <c r="AE14" s="6">
        <f t="shared" si="8"/>
        <v>46215</v>
      </c>
      <c r="AF14" s="20"/>
      <c r="AG14" s="4"/>
      <c r="AH14" s="11"/>
      <c r="AI14" s="11"/>
      <c r="AJ14" s="22"/>
    </row>
    <row r="15">
      <c r="A15" s="4"/>
      <c r="B15" s="11"/>
      <c r="C15" s="11"/>
      <c r="D15" s="10"/>
      <c r="E15" s="4"/>
      <c r="F15" s="11"/>
      <c r="G15" s="11"/>
      <c r="H15" s="10"/>
      <c r="I15" s="4"/>
      <c r="J15" s="5"/>
      <c r="K15" s="6"/>
      <c r="L15" s="10"/>
      <c r="M15" s="4" t="s">
        <v>162</v>
      </c>
      <c r="N15" s="5">
        <v>46147.0</v>
      </c>
      <c r="O15" s="6">
        <f t="shared" si="4"/>
        <v>68</v>
      </c>
      <c r="P15" s="10"/>
      <c r="Q15" s="4" t="s">
        <v>163</v>
      </c>
      <c r="R15" s="5">
        <v>46143.0</v>
      </c>
      <c r="S15" s="6">
        <f t="shared" si="5"/>
        <v>72</v>
      </c>
      <c r="T15" s="10"/>
      <c r="U15" s="4" t="s">
        <v>164</v>
      </c>
      <c r="V15" s="5">
        <v>46141.0</v>
      </c>
      <c r="W15" s="6">
        <f t="shared" si="6"/>
        <v>74</v>
      </c>
      <c r="X15" s="10"/>
      <c r="Y15" s="4" t="s">
        <v>165</v>
      </c>
      <c r="Z15" s="5">
        <v>46112.0</v>
      </c>
      <c r="AA15" s="6">
        <f t="shared" si="7"/>
        <v>103</v>
      </c>
      <c r="AB15" s="10"/>
      <c r="AC15" s="4"/>
      <c r="AD15" s="11"/>
      <c r="AE15" s="6"/>
      <c r="AF15" s="20"/>
      <c r="AG15" s="4"/>
      <c r="AH15" s="11"/>
      <c r="AI15" s="11"/>
      <c r="AJ15" s="22"/>
    </row>
    <row r="16">
      <c r="A16" s="4"/>
      <c r="B16" s="11"/>
      <c r="C16" s="11"/>
      <c r="D16" s="10"/>
      <c r="E16" s="4"/>
      <c r="F16" s="11"/>
      <c r="G16" s="11"/>
      <c r="H16" s="10"/>
      <c r="I16" s="4"/>
      <c r="J16" s="5"/>
      <c r="K16" s="6"/>
      <c r="L16" s="10"/>
      <c r="M16" s="4"/>
      <c r="N16" s="11"/>
      <c r="O16" s="11"/>
      <c r="P16" s="10"/>
      <c r="Q16" s="4" t="s">
        <v>53</v>
      </c>
      <c r="R16" s="5">
        <v>46138.0</v>
      </c>
      <c r="S16" s="6">
        <f t="shared" si="5"/>
        <v>77</v>
      </c>
      <c r="T16" s="7"/>
      <c r="U16" s="4" t="s">
        <v>53</v>
      </c>
      <c r="V16" s="5">
        <v>46141.0</v>
      </c>
      <c r="W16" s="6">
        <f t="shared" si="6"/>
        <v>74</v>
      </c>
      <c r="X16" s="10"/>
      <c r="Y16" s="4" t="s">
        <v>166</v>
      </c>
      <c r="Z16" s="5">
        <v>46112.0</v>
      </c>
      <c r="AA16" s="6">
        <f t="shared" si="7"/>
        <v>103</v>
      </c>
      <c r="AB16" s="10"/>
      <c r="AC16" s="4"/>
      <c r="AD16" s="5"/>
      <c r="AE16" s="6"/>
      <c r="AF16" s="22"/>
      <c r="AG16" s="4"/>
      <c r="AH16" s="11"/>
      <c r="AI16" s="11"/>
      <c r="AJ16" s="22"/>
    </row>
    <row r="17">
      <c r="A17" s="11"/>
      <c r="B17" s="12"/>
      <c r="C17" s="11"/>
      <c r="D17" s="12"/>
      <c r="E17" s="11"/>
      <c r="F17" s="12"/>
      <c r="G17" s="11"/>
      <c r="H17" s="10"/>
      <c r="I17" s="4"/>
      <c r="J17" s="24"/>
      <c r="K17" s="6"/>
      <c r="L17" s="10"/>
      <c r="M17" s="4"/>
      <c r="N17" s="12"/>
      <c r="O17" s="11"/>
      <c r="P17" s="10"/>
      <c r="Q17" s="4" t="s">
        <v>60</v>
      </c>
      <c r="R17" s="5">
        <v>46142.0</v>
      </c>
      <c r="S17" s="6">
        <f t="shared" si="5"/>
        <v>73</v>
      </c>
      <c r="T17" s="10"/>
      <c r="U17" s="4" t="s">
        <v>60</v>
      </c>
      <c r="V17" s="25">
        <v>46139.0</v>
      </c>
      <c r="W17" s="6">
        <f t="shared" si="6"/>
        <v>76</v>
      </c>
      <c r="X17" s="10"/>
      <c r="Y17" s="4" t="s">
        <v>60</v>
      </c>
      <c r="Z17" s="5">
        <v>46112.0</v>
      </c>
      <c r="AA17" s="6">
        <f t="shared" si="7"/>
        <v>103</v>
      </c>
      <c r="AB17" s="10"/>
      <c r="AC17" s="4"/>
      <c r="AD17" s="11"/>
      <c r="AE17" s="11"/>
      <c r="AF17" s="22"/>
      <c r="AG17" s="11"/>
      <c r="AH17" s="11"/>
      <c r="AI17" s="11"/>
      <c r="AJ17" s="11"/>
    </row>
    <row r="18">
      <c r="A18" s="11"/>
      <c r="B18" s="5"/>
      <c r="C18" s="26"/>
      <c r="D18" s="11"/>
      <c r="E18" s="11"/>
      <c r="F18" s="5"/>
      <c r="G18" s="26"/>
      <c r="H18" s="11"/>
      <c r="I18" s="11"/>
      <c r="J18" s="5"/>
      <c r="K18" s="26"/>
      <c r="L18" s="11"/>
      <c r="M18" s="11"/>
      <c r="N18" s="5"/>
      <c r="O18" s="26"/>
      <c r="P18" s="11"/>
      <c r="Q18" s="11"/>
      <c r="R18" s="27"/>
      <c r="S18" s="26"/>
      <c r="T18" s="11"/>
      <c r="U18" s="11"/>
      <c r="V18" s="5"/>
      <c r="W18" s="26"/>
      <c r="X18" s="11"/>
      <c r="Y18" s="11"/>
      <c r="Z18" s="5"/>
      <c r="AA18" s="26"/>
      <c r="AB18" s="11"/>
      <c r="AC18" s="11"/>
      <c r="AD18" s="11"/>
      <c r="AE18" s="11"/>
      <c r="AF18" s="11"/>
      <c r="AG18" s="11"/>
      <c r="AH18" s="5"/>
      <c r="AI18" s="26"/>
      <c r="AJ18" s="11"/>
    </row>
  </sheetData>
  <conditionalFormatting sqref="C2:C14 G2:G14 K2:K17 O2:O15 S2:S17 W2:W17">
    <cfRule type="cellIs" dxfId="0" priority="1" operator="greaterThan">
      <formula>100</formula>
    </cfRule>
  </conditionalFormatting>
  <conditionalFormatting sqref="C2:C14 G2:G14 K2:K17 O2:O15 S2:S17 W2:W17">
    <cfRule type="colorScale" priority="2">
      <colorScale>
        <cfvo type="formula" val="0"/>
        <cfvo type="formula" val="14"/>
        <cfvo type="formula" val="28"/>
        <color rgb="FF57BB8A"/>
        <color rgb="FFFFD666"/>
        <color rgb="FFE67C73"/>
      </colorScale>
    </cfRule>
  </conditionalFormatting>
  <conditionalFormatting sqref="C18 G18 K18 O18 S18 W18">
    <cfRule type="colorScale" priority="3">
      <colorScale>
        <cfvo type="formula" val="0"/>
        <cfvo type="formula" val="14"/>
        <cfvo type="formula" val="28"/>
        <color rgb="FFE67C73"/>
        <color rgb="FFFFD666"/>
        <color rgb="FF57BB8A"/>
      </colorScale>
    </cfRule>
  </conditionalFormatting>
  <conditionalFormatting sqref="AA18 AI18">
    <cfRule type="colorScale" priority="4">
      <colorScale>
        <cfvo type="formula" val="0"/>
        <cfvo type="formula" val="14"/>
        <cfvo type="formula" val="28"/>
        <color rgb="FFE67C73"/>
        <color rgb="FFFFD666"/>
        <color rgb="FF57BB8A"/>
      </colorScale>
    </cfRule>
  </conditionalFormatting>
  <conditionalFormatting sqref="AA2:AA17 AE2:AE16 AI2:AI10">
    <cfRule type="cellIs" dxfId="0" priority="5" operator="greaterThan">
      <formula>100</formula>
    </cfRule>
  </conditionalFormatting>
  <conditionalFormatting sqref="AA2:AA17 AE2:AE16 AI2:AI10">
    <cfRule type="colorScale" priority="6">
      <colorScale>
        <cfvo type="formula" val="0"/>
        <cfvo type="formula" val="14"/>
        <cfvo type="formula" val="28"/>
        <color rgb="FF57BB8A"/>
        <color rgb="FFFFD666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9.38"/>
    <col customWidth="1" min="3" max="3" width="7.5"/>
    <col customWidth="1" min="4" max="4" width="5.63"/>
    <col customWidth="1" min="5" max="5" width="15.88"/>
    <col customWidth="1" min="6" max="6" width="9.38"/>
    <col customWidth="1" min="7" max="7" width="7.5"/>
    <col customWidth="1" min="8" max="8" width="5.63"/>
  </cols>
  <sheetData>
    <row r="1">
      <c r="A1" s="1" t="s">
        <v>167</v>
      </c>
      <c r="B1" s="2" t="s">
        <v>1</v>
      </c>
      <c r="C1" s="2" t="s">
        <v>2</v>
      </c>
      <c r="D1" s="3" t="s">
        <v>3</v>
      </c>
      <c r="E1" s="1" t="s">
        <v>168</v>
      </c>
      <c r="F1" s="2" t="s">
        <v>1</v>
      </c>
      <c r="G1" s="2" t="s">
        <v>2</v>
      </c>
      <c r="H1" s="2" t="s">
        <v>3</v>
      </c>
    </row>
    <row r="2">
      <c r="A2" s="4" t="s">
        <v>11</v>
      </c>
      <c r="B2" s="5">
        <v>45180.0</v>
      </c>
      <c r="C2" s="6">
        <f t="shared" ref="C2:C11" si="1">TODAY()-B2</f>
        <v>1035</v>
      </c>
      <c r="D2" s="20"/>
      <c r="E2" s="4" t="s">
        <v>11</v>
      </c>
      <c r="F2" s="5">
        <v>45793.0</v>
      </c>
      <c r="G2" s="6">
        <f t="shared" ref="G2:G9" si="2">TODAY()-F2</f>
        <v>422</v>
      </c>
      <c r="H2" s="28"/>
    </row>
    <row r="3">
      <c r="A3" s="4" t="s">
        <v>12</v>
      </c>
      <c r="B3" s="5">
        <v>45269.0</v>
      </c>
      <c r="C3" s="6">
        <f t="shared" si="1"/>
        <v>946</v>
      </c>
      <c r="D3" s="20"/>
      <c r="E3" s="4" t="s">
        <v>12</v>
      </c>
      <c r="F3" s="5">
        <v>45793.0</v>
      </c>
      <c r="G3" s="6">
        <f t="shared" si="2"/>
        <v>422</v>
      </c>
      <c r="H3" s="28"/>
    </row>
    <row r="4">
      <c r="A4" s="4" t="s">
        <v>16</v>
      </c>
      <c r="B4" s="5">
        <v>45269.0</v>
      </c>
      <c r="C4" s="6">
        <f t="shared" si="1"/>
        <v>946</v>
      </c>
      <c r="D4" s="20"/>
      <c r="E4" s="4" t="s">
        <v>16</v>
      </c>
      <c r="F4" s="5">
        <v>45793.0</v>
      </c>
      <c r="G4" s="6">
        <f t="shared" si="2"/>
        <v>422</v>
      </c>
      <c r="H4" s="28"/>
    </row>
    <row r="5">
      <c r="A5" s="4" t="s">
        <v>169</v>
      </c>
      <c r="B5" s="5">
        <v>45269.0</v>
      </c>
      <c r="C5" s="6">
        <f t="shared" si="1"/>
        <v>946</v>
      </c>
      <c r="D5" s="20"/>
      <c r="E5" s="4" t="s">
        <v>170</v>
      </c>
      <c r="F5" s="5">
        <v>45793.0</v>
      </c>
      <c r="G5" s="6">
        <f t="shared" si="2"/>
        <v>422</v>
      </c>
      <c r="H5" s="28"/>
    </row>
    <row r="6">
      <c r="A6" s="4" t="s">
        <v>171</v>
      </c>
      <c r="B6" s="5">
        <v>45269.0</v>
      </c>
      <c r="C6" s="6">
        <f t="shared" si="1"/>
        <v>946</v>
      </c>
      <c r="D6" s="20"/>
      <c r="E6" s="4" t="s">
        <v>22</v>
      </c>
      <c r="F6" s="5">
        <v>45796.0</v>
      </c>
      <c r="G6" s="6">
        <f t="shared" si="2"/>
        <v>419</v>
      </c>
      <c r="H6" s="28"/>
    </row>
    <row r="7">
      <c r="A7" s="4" t="s">
        <v>172</v>
      </c>
      <c r="B7" s="5">
        <v>45269.0</v>
      </c>
      <c r="C7" s="6">
        <f t="shared" si="1"/>
        <v>946</v>
      </c>
      <c r="D7" s="20"/>
      <c r="E7" s="4" t="s">
        <v>58</v>
      </c>
      <c r="F7" s="5">
        <v>45796.0</v>
      </c>
      <c r="G7" s="6">
        <f t="shared" si="2"/>
        <v>419</v>
      </c>
      <c r="H7" s="28"/>
    </row>
    <row r="8">
      <c r="A8" s="4" t="s">
        <v>173</v>
      </c>
      <c r="B8" s="5">
        <v>45269.0</v>
      </c>
      <c r="C8" s="6">
        <f t="shared" si="1"/>
        <v>946</v>
      </c>
      <c r="D8" s="20"/>
      <c r="E8" s="4" t="s">
        <v>53</v>
      </c>
      <c r="F8" s="5">
        <v>45796.0</v>
      </c>
      <c r="G8" s="6">
        <f t="shared" si="2"/>
        <v>419</v>
      </c>
      <c r="H8" s="28"/>
    </row>
    <row r="9">
      <c r="A9" s="4" t="s">
        <v>174</v>
      </c>
      <c r="B9" s="5">
        <v>45269.0</v>
      </c>
      <c r="C9" s="6">
        <f t="shared" si="1"/>
        <v>946</v>
      </c>
      <c r="D9" s="20"/>
      <c r="E9" s="4" t="s">
        <v>60</v>
      </c>
      <c r="F9" s="5">
        <v>45796.0</v>
      </c>
      <c r="G9" s="6">
        <f t="shared" si="2"/>
        <v>419</v>
      </c>
      <c r="H9" s="28"/>
    </row>
    <row r="10">
      <c r="A10" s="4" t="s">
        <v>53</v>
      </c>
      <c r="B10" s="5">
        <v>45180.0</v>
      </c>
      <c r="C10" s="6">
        <f t="shared" si="1"/>
        <v>1035</v>
      </c>
      <c r="D10" s="20"/>
      <c r="E10" s="4"/>
      <c r="F10" s="5"/>
      <c r="G10" s="6"/>
      <c r="H10" s="28"/>
    </row>
    <row r="11">
      <c r="A11" s="4" t="s">
        <v>60</v>
      </c>
      <c r="B11" s="5">
        <v>45180.0</v>
      </c>
      <c r="C11" s="6">
        <f t="shared" si="1"/>
        <v>1035</v>
      </c>
      <c r="D11" s="20"/>
      <c r="E11" s="4"/>
      <c r="F11" s="5"/>
      <c r="G11" s="6"/>
      <c r="H11" s="28"/>
    </row>
    <row r="12">
      <c r="A12" s="4"/>
      <c r="B12" s="5"/>
      <c r="C12" s="6"/>
      <c r="D12" s="29"/>
      <c r="E12" s="4"/>
      <c r="F12" s="5"/>
      <c r="G12" s="6"/>
    </row>
    <row r="13">
      <c r="A13" s="4"/>
      <c r="B13" s="5"/>
      <c r="C13" s="6"/>
      <c r="D13" s="29"/>
      <c r="E13" s="4"/>
      <c r="F13" s="5"/>
      <c r="G13" s="6"/>
    </row>
    <row r="14">
      <c r="A14" s="4"/>
      <c r="B14" s="5"/>
      <c r="C14" s="6"/>
      <c r="D14" s="29"/>
      <c r="E14" s="4"/>
      <c r="F14" s="5"/>
      <c r="G14" s="6"/>
    </row>
    <row r="15">
      <c r="A15" s="30"/>
      <c r="B15" s="31"/>
      <c r="C15" s="31"/>
      <c r="D15" s="32"/>
      <c r="E15" s="4"/>
      <c r="F15" s="5"/>
      <c r="G15" s="6"/>
    </row>
    <row r="16">
      <c r="A16" s="30"/>
      <c r="B16" s="31"/>
      <c r="C16" s="31"/>
      <c r="D16" s="32"/>
      <c r="E16" s="4"/>
      <c r="F16" s="5"/>
      <c r="G16" s="6"/>
    </row>
    <row r="17">
      <c r="A17" s="30"/>
      <c r="B17" s="31"/>
      <c r="C17" s="31"/>
      <c r="D17" s="32"/>
      <c r="E17" s="4"/>
      <c r="F17" s="5"/>
      <c r="G17" s="6"/>
    </row>
    <row r="18">
      <c r="A18" s="11"/>
      <c r="B18" s="11"/>
      <c r="C18" s="11"/>
      <c r="D18" s="11"/>
      <c r="E18" s="4"/>
      <c r="F18" s="5"/>
      <c r="G18" s="28"/>
      <c r="H18" s="11"/>
    </row>
  </sheetData>
  <conditionalFormatting sqref="C2:C14">
    <cfRule type="colorScale" priority="1">
      <colorScale>
        <cfvo type="formula" val="0"/>
        <cfvo type="formula" val="14"/>
        <cfvo type="formula" val="28"/>
        <color rgb="FF57BB8A"/>
        <color rgb="FFFFD666"/>
        <color rgb="FFE67C73"/>
      </colorScale>
    </cfRule>
  </conditionalFormatting>
  <conditionalFormatting sqref="C2:C14">
    <cfRule type="cellIs" dxfId="0" priority="2" operator="greaterThan">
      <formula>100</formula>
    </cfRule>
  </conditionalFormatting>
  <conditionalFormatting sqref="G2:G10">
    <cfRule type="colorScale" priority="3">
      <colorScale>
        <cfvo type="formula" val="0"/>
        <cfvo type="formula" val="14"/>
        <cfvo type="formula" val="28"/>
        <color rgb="FF57BB8A"/>
        <color rgb="FFFFD666"/>
        <color rgb="FFE67C73"/>
      </colorScale>
    </cfRule>
  </conditionalFormatting>
  <conditionalFormatting sqref="G2:G10">
    <cfRule type="cellIs" dxfId="0" priority="4" operator="greaterThan">
      <formula>100</formula>
    </cfRule>
  </conditionalFormatting>
  <conditionalFormatting sqref="G18">
    <cfRule type="colorScale" priority="5">
      <colorScale>
        <cfvo type="formula" val="0"/>
        <cfvo type="formula" val="14"/>
        <cfvo type="formula" val="28"/>
        <color rgb="FFE67C73"/>
        <color rgb="FFFFD666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9.38"/>
    <col customWidth="1" min="3" max="3" width="9.88"/>
    <col customWidth="1" min="4" max="4" width="8.75"/>
    <col customWidth="1" min="5" max="5" width="17.25"/>
    <col customWidth="1" min="6" max="6" width="19.5"/>
    <col customWidth="1" min="7" max="7" width="8.63"/>
    <col customWidth="1" min="8" max="8" width="9.88"/>
    <col customWidth="1" min="9" max="9" width="7.75"/>
    <col customWidth="1" min="10" max="10" width="32.88"/>
  </cols>
  <sheetData>
    <row r="1">
      <c r="A1" s="1" t="s">
        <v>175</v>
      </c>
      <c r="B1" s="2" t="s">
        <v>1</v>
      </c>
      <c r="C1" s="2" t="s">
        <v>176</v>
      </c>
      <c r="D1" s="2" t="s">
        <v>2</v>
      </c>
      <c r="E1" s="19" t="s">
        <v>3</v>
      </c>
      <c r="F1" s="2" t="s">
        <v>177</v>
      </c>
      <c r="G1" s="2" t="s">
        <v>1</v>
      </c>
      <c r="H1" s="2" t="s">
        <v>176</v>
      </c>
      <c r="I1" s="2" t="s">
        <v>2</v>
      </c>
      <c r="J1" s="19" t="s">
        <v>3</v>
      </c>
    </row>
    <row r="2">
      <c r="A2" s="4" t="s">
        <v>178</v>
      </c>
      <c r="B2" s="5">
        <v>46170.0</v>
      </c>
      <c r="C2" s="33" t="s">
        <v>179</v>
      </c>
      <c r="D2" s="6">
        <f t="shared" ref="D2:D12" si="1">TODAY()-B2</f>
        <v>45</v>
      </c>
      <c r="E2" s="20"/>
      <c r="F2" s="11" t="s">
        <v>180</v>
      </c>
      <c r="G2" s="5">
        <v>45853.0</v>
      </c>
      <c r="H2" s="33" t="s">
        <v>179</v>
      </c>
      <c r="I2" s="6">
        <f t="shared" ref="I2:I13" si="2">TODAY()-G2</f>
        <v>362</v>
      </c>
      <c r="J2" s="20"/>
    </row>
    <row r="3">
      <c r="A3" s="4" t="s">
        <v>181</v>
      </c>
      <c r="B3" s="5">
        <v>46169.0</v>
      </c>
      <c r="C3" s="33" t="s">
        <v>179</v>
      </c>
      <c r="D3" s="6">
        <f t="shared" si="1"/>
        <v>46</v>
      </c>
      <c r="E3" s="20"/>
      <c r="F3" s="11" t="s">
        <v>182</v>
      </c>
      <c r="G3" s="5">
        <v>45853.0</v>
      </c>
      <c r="H3" s="33" t="s">
        <v>179</v>
      </c>
      <c r="I3" s="6">
        <f t="shared" si="2"/>
        <v>362</v>
      </c>
      <c r="J3" s="20"/>
    </row>
    <row r="4">
      <c r="A4" s="4" t="s">
        <v>183</v>
      </c>
      <c r="B4" s="5">
        <v>46169.0</v>
      </c>
      <c r="C4" s="33" t="s">
        <v>179</v>
      </c>
      <c r="D4" s="6">
        <f t="shared" si="1"/>
        <v>46</v>
      </c>
      <c r="E4" s="20"/>
      <c r="F4" s="11" t="s">
        <v>184</v>
      </c>
      <c r="G4" s="5">
        <v>45839.0</v>
      </c>
      <c r="H4" s="33" t="s">
        <v>179</v>
      </c>
      <c r="I4" s="6">
        <f t="shared" si="2"/>
        <v>376</v>
      </c>
      <c r="J4" s="20" t="s">
        <v>185</v>
      </c>
    </row>
    <row r="5">
      <c r="A5" s="4" t="s">
        <v>186</v>
      </c>
      <c r="B5" s="5">
        <v>46167.0</v>
      </c>
      <c r="C5" s="33" t="s">
        <v>179</v>
      </c>
      <c r="D5" s="6">
        <f t="shared" si="1"/>
        <v>48</v>
      </c>
      <c r="E5" s="20"/>
      <c r="F5" s="11" t="s">
        <v>187</v>
      </c>
      <c r="G5" s="5">
        <v>45845.0</v>
      </c>
      <c r="H5" s="33" t="s">
        <v>179</v>
      </c>
      <c r="I5" s="6">
        <f t="shared" si="2"/>
        <v>370</v>
      </c>
      <c r="J5" s="20" t="s">
        <v>188</v>
      </c>
    </row>
    <row r="6">
      <c r="A6" s="4" t="s">
        <v>189</v>
      </c>
      <c r="B6" s="5">
        <v>46169.0</v>
      </c>
      <c r="C6" s="33" t="s">
        <v>179</v>
      </c>
      <c r="D6" s="6">
        <f t="shared" si="1"/>
        <v>46</v>
      </c>
      <c r="E6" s="20"/>
      <c r="F6" s="11" t="s">
        <v>190</v>
      </c>
      <c r="G6" s="5">
        <v>45839.0</v>
      </c>
      <c r="H6" s="33" t="s">
        <v>179</v>
      </c>
      <c r="I6" s="6">
        <f t="shared" si="2"/>
        <v>376</v>
      </c>
      <c r="J6" s="20" t="s">
        <v>188</v>
      </c>
    </row>
    <row r="7">
      <c r="A7" s="4" t="s">
        <v>191</v>
      </c>
      <c r="B7" s="5">
        <v>46169.0</v>
      </c>
      <c r="C7" s="33" t="s">
        <v>179</v>
      </c>
      <c r="D7" s="6">
        <f t="shared" si="1"/>
        <v>46</v>
      </c>
      <c r="E7" s="20"/>
      <c r="F7" s="11" t="s">
        <v>192</v>
      </c>
      <c r="G7" s="5"/>
      <c r="H7" s="33"/>
      <c r="I7" s="6">
        <f t="shared" si="2"/>
        <v>46215</v>
      </c>
      <c r="J7" s="20"/>
    </row>
    <row r="8">
      <c r="A8" s="4" t="s">
        <v>193</v>
      </c>
      <c r="B8" s="5">
        <v>46167.0</v>
      </c>
      <c r="C8" s="33" t="s">
        <v>179</v>
      </c>
      <c r="D8" s="6">
        <f t="shared" si="1"/>
        <v>48</v>
      </c>
      <c r="E8" s="20"/>
      <c r="F8" s="11" t="s">
        <v>194</v>
      </c>
      <c r="G8" s="5"/>
      <c r="H8" s="33"/>
      <c r="I8" s="6">
        <f t="shared" si="2"/>
        <v>46215</v>
      </c>
      <c r="J8" s="20"/>
    </row>
    <row r="9">
      <c r="A9" s="4" t="s">
        <v>195</v>
      </c>
      <c r="B9" s="5">
        <v>46157.0</v>
      </c>
      <c r="C9" s="33" t="s">
        <v>179</v>
      </c>
      <c r="D9" s="6">
        <f t="shared" si="1"/>
        <v>58</v>
      </c>
      <c r="E9" s="20"/>
      <c r="F9" s="11" t="s">
        <v>196</v>
      </c>
      <c r="G9" s="5"/>
      <c r="H9" s="33"/>
      <c r="I9" s="6">
        <f t="shared" si="2"/>
        <v>46215</v>
      </c>
      <c r="J9" s="20"/>
    </row>
    <row r="10">
      <c r="A10" s="4" t="s">
        <v>197</v>
      </c>
      <c r="B10" s="5">
        <v>46157.0</v>
      </c>
      <c r="C10" s="33" t="s">
        <v>179</v>
      </c>
      <c r="D10" s="6">
        <f t="shared" si="1"/>
        <v>58</v>
      </c>
      <c r="E10" s="20"/>
      <c r="F10" s="11" t="s">
        <v>198</v>
      </c>
      <c r="G10" s="5"/>
      <c r="H10" s="33"/>
      <c r="I10" s="6">
        <f t="shared" si="2"/>
        <v>46215</v>
      </c>
      <c r="J10" s="20"/>
    </row>
    <row r="11">
      <c r="A11" s="4" t="s">
        <v>199</v>
      </c>
      <c r="B11" s="5">
        <v>46157.0</v>
      </c>
      <c r="C11" s="33" t="s">
        <v>179</v>
      </c>
      <c r="D11" s="6">
        <f t="shared" si="1"/>
        <v>58</v>
      </c>
      <c r="E11" s="20"/>
      <c r="F11" s="11" t="s">
        <v>200</v>
      </c>
      <c r="G11" s="5"/>
      <c r="H11" s="33"/>
      <c r="I11" s="6">
        <f t="shared" si="2"/>
        <v>46215</v>
      </c>
      <c r="J11" s="20"/>
    </row>
    <row r="12">
      <c r="A12" s="4" t="s">
        <v>201</v>
      </c>
      <c r="B12" s="5">
        <v>46157.0</v>
      </c>
      <c r="C12" s="33" t="s">
        <v>179</v>
      </c>
      <c r="D12" s="6">
        <f t="shared" si="1"/>
        <v>58</v>
      </c>
      <c r="E12" s="20"/>
      <c r="F12" s="11" t="s">
        <v>202</v>
      </c>
      <c r="G12" s="5"/>
      <c r="H12" s="33"/>
      <c r="I12" s="6">
        <f t="shared" si="2"/>
        <v>46215</v>
      </c>
      <c r="J12" s="20"/>
    </row>
    <row r="13">
      <c r="E13" s="20"/>
      <c r="F13" s="11" t="s">
        <v>203</v>
      </c>
      <c r="G13" s="5"/>
      <c r="H13" s="33"/>
      <c r="I13" s="6">
        <f t="shared" si="2"/>
        <v>46215</v>
      </c>
      <c r="J13" s="20"/>
    </row>
    <row r="14">
      <c r="E14" s="20"/>
      <c r="F14" s="34"/>
      <c r="G14" s="5"/>
      <c r="H14" s="33"/>
      <c r="I14" s="6"/>
      <c r="J14" s="20"/>
    </row>
    <row r="15">
      <c r="A15" s="4"/>
      <c r="B15" s="5"/>
      <c r="C15" s="33"/>
      <c r="D15" s="6"/>
      <c r="E15" s="20"/>
      <c r="F15" s="34"/>
      <c r="G15" s="5"/>
      <c r="H15" s="33"/>
      <c r="I15" s="6"/>
      <c r="J15" s="20"/>
    </row>
    <row r="16">
      <c r="A16" s="4"/>
      <c r="B16" s="5"/>
      <c r="C16" s="33"/>
      <c r="D16" s="6"/>
      <c r="E16" s="20"/>
      <c r="F16" s="34"/>
      <c r="G16" s="5"/>
      <c r="H16" s="33"/>
      <c r="I16" s="6"/>
      <c r="J16" s="20"/>
    </row>
    <row r="17">
      <c r="A17" s="4"/>
      <c r="B17" s="5"/>
      <c r="C17" s="33"/>
      <c r="D17" s="6"/>
      <c r="E17" s="20"/>
      <c r="F17" s="34"/>
      <c r="G17" s="5"/>
      <c r="H17" s="33"/>
      <c r="I17" s="6"/>
      <c r="J17" s="20"/>
    </row>
    <row r="18">
      <c r="A18" s="4"/>
      <c r="B18" s="28"/>
      <c r="C18" s="6"/>
      <c r="D18" s="28"/>
      <c r="E18" s="20"/>
      <c r="F18" s="11"/>
      <c r="G18" s="28"/>
      <c r="H18" s="6"/>
      <c r="I18" s="28"/>
      <c r="J18" s="20"/>
    </row>
    <row r="19">
      <c r="A19" s="13" t="s">
        <v>73</v>
      </c>
      <c r="B19" s="14">
        <v>46173.0</v>
      </c>
      <c r="C19" s="35">
        <f>B19-TODAY()</f>
        <v>-42</v>
      </c>
      <c r="D19" s="36"/>
      <c r="E19" s="16"/>
      <c r="F19" s="36" t="s">
        <v>73</v>
      </c>
      <c r="G19" s="14">
        <v>46249.0</v>
      </c>
      <c r="H19" s="35">
        <f>G19-TODAY()</f>
        <v>34</v>
      </c>
      <c r="I19" s="36"/>
      <c r="J19" s="16"/>
    </row>
  </sheetData>
  <conditionalFormatting sqref="C19 H19">
    <cfRule type="colorScale" priority="1">
      <colorScale>
        <cfvo type="formula" val="0"/>
        <cfvo type="formula" val="14"/>
        <cfvo type="formula" val="28"/>
        <color rgb="FFE67C73"/>
        <color rgb="FFFFD666"/>
        <color rgb="FF57BB8A"/>
      </colorScale>
    </cfRule>
  </conditionalFormatting>
  <conditionalFormatting sqref="C2:D19 H2:I19">
    <cfRule type="cellIs" dxfId="0" priority="2" operator="greaterThan">
      <formula>100</formula>
    </cfRule>
  </conditionalFormatting>
  <conditionalFormatting sqref="C2:D19 H2:I19">
    <cfRule type="colorScale" priority="3">
      <colorScale>
        <cfvo type="formula" val="0"/>
        <cfvo type="formula" val="14"/>
        <cfvo type="formula" val="28"/>
        <color rgb="FF57BB8A"/>
        <color rgb="FFFFD666"/>
        <color rgb="FFE67C73"/>
      </colorScale>
    </cfRule>
  </conditionalFormatting>
  <dataValidations>
    <dataValidation type="list" allowBlank="1" showErrorMessage="1" sqref="C2:C12 H2:H13">
      <formula1>"Under Limit,Over Limit,Done"</formula1>
    </dataValidation>
  </dataValidations>
  <drawing r:id="rId1"/>
</worksheet>
</file>